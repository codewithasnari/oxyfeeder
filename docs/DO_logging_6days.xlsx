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rus\Downloads\oxyfeeder-main\oxyfeeder-main\docs\"/>
    </mc:Choice>
  </mc:AlternateContent>
  <xr:revisionPtr revIDLastSave="0" documentId="13_ncr:1_{2EC07C2C-5004-4957-8810-A82038E75BFE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  <sheet name="Summary" sheetId="7" r:id="rId7"/>
    <sheet name="Sat Tabl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O15" i="7"/>
  <c r="G15" i="7"/>
  <c r="C15" i="7"/>
  <c r="K14" i="7"/>
  <c r="G14" i="7"/>
  <c r="O12" i="7"/>
  <c r="O11" i="7"/>
  <c r="X63" i="6"/>
  <c r="J63" i="6"/>
  <c r="C63" i="6"/>
  <c r="X62" i="6"/>
  <c r="J62" i="6"/>
  <c r="C62" i="6"/>
  <c r="X61" i="6"/>
  <c r="J61" i="6"/>
  <c r="C61" i="6"/>
  <c r="X60" i="6"/>
  <c r="P15" i="7" s="1"/>
  <c r="J60" i="6"/>
  <c r="H15" i="7" s="1"/>
  <c r="C60" i="6"/>
  <c r="D15" i="7" s="1"/>
  <c r="X59" i="6"/>
  <c r="J59" i="6"/>
  <c r="C59" i="6"/>
  <c r="X58" i="6"/>
  <c r="N15" i="7" s="1"/>
  <c r="J58" i="6"/>
  <c r="F15" i="7" s="1"/>
  <c r="C58" i="6"/>
  <c r="B15" i="7" s="1"/>
  <c r="AA55" i="6"/>
  <c r="Z55" i="6"/>
  <c r="M55" i="6"/>
  <c r="L55" i="6"/>
  <c r="F55" i="6"/>
  <c r="E55" i="6"/>
  <c r="AA54" i="6"/>
  <c r="Z54" i="6"/>
  <c r="M54" i="6"/>
  <c r="L54" i="6"/>
  <c r="F54" i="6"/>
  <c r="E54" i="6"/>
  <c r="AA53" i="6"/>
  <c r="Z53" i="6"/>
  <c r="M53" i="6"/>
  <c r="L53" i="6"/>
  <c r="F53" i="6"/>
  <c r="E53" i="6"/>
  <c r="AA52" i="6"/>
  <c r="Z52" i="6"/>
  <c r="M52" i="6"/>
  <c r="L52" i="6"/>
  <c r="F52" i="6"/>
  <c r="E52" i="6"/>
  <c r="AA51" i="6"/>
  <c r="Z51" i="6"/>
  <c r="M51" i="6"/>
  <c r="L51" i="6"/>
  <c r="F51" i="6"/>
  <c r="E51" i="6"/>
  <c r="AA50" i="6"/>
  <c r="Z50" i="6"/>
  <c r="M50" i="6"/>
  <c r="L50" i="6"/>
  <c r="F50" i="6"/>
  <c r="E50" i="6"/>
  <c r="AA49" i="6"/>
  <c r="Z49" i="6"/>
  <c r="M49" i="6"/>
  <c r="L49" i="6"/>
  <c r="F49" i="6"/>
  <c r="E49" i="6"/>
  <c r="AA48" i="6"/>
  <c r="Z48" i="6"/>
  <c r="M48" i="6"/>
  <c r="L48" i="6"/>
  <c r="F48" i="6"/>
  <c r="E48" i="6"/>
  <c r="AA47" i="6"/>
  <c r="Z47" i="6"/>
  <c r="M47" i="6"/>
  <c r="L47" i="6"/>
  <c r="F47" i="6"/>
  <c r="E47" i="6"/>
  <c r="AA46" i="6"/>
  <c r="Z46" i="6"/>
  <c r="M46" i="6"/>
  <c r="L46" i="6"/>
  <c r="F46" i="6"/>
  <c r="E46" i="6"/>
  <c r="AA45" i="6"/>
  <c r="Z45" i="6"/>
  <c r="M45" i="6"/>
  <c r="L45" i="6"/>
  <c r="F45" i="6"/>
  <c r="E45" i="6"/>
  <c r="AA44" i="6"/>
  <c r="Z44" i="6"/>
  <c r="M44" i="6"/>
  <c r="L44" i="6"/>
  <c r="F44" i="6"/>
  <c r="E44" i="6"/>
  <c r="AA43" i="6"/>
  <c r="Z43" i="6"/>
  <c r="M43" i="6"/>
  <c r="L43" i="6"/>
  <c r="F43" i="6"/>
  <c r="E43" i="6"/>
  <c r="AA42" i="6"/>
  <c r="Z42" i="6"/>
  <c r="M42" i="6"/>
  <c r="L42" i="6"/>
  <c r="F42" i="6"/>
  <c r="E42" i="6"/>
  <c r="AA41" i="6"/>
  <c r="Z41" i="6"/>
  <c r="M41" i="6"/>
  <c r="L41" i="6"/>
  <c r="F41" i="6"/>
  <c r="E41" i="6"/>
  <c r="AA40" i="6"/>
  <c r="Z40" i="6"/>
  <c r="M40" i="6"/>
  <c r="L40" i="6"/>
  <c r="F40" i="6"/>
  <c r="E40" i="6"/>
  <c r="AA39" i="6"/>
  <c r="Z39" i="6"/>
  <c r="M39" i="6"/>
  <c r="L39" i="6"/>
  <c r="F39" i="6"/>
  <c r="E39" i="6"/>
  <c r="AA38" i="6"/>
  <c r="Z38" i="6"/>
  <c r="M38" i="6"/>
  <c r="L38" i="6"/>
  <c r="F38" i="6"/>
  <c r="E38" i="6"/>
  <c r="AA37" i="6"/>
  <c r="Z37" i="6"/>
  <c r="M37" i="6"/>
  <c r="L37" i="6"/>
  <c r="F37" i="6"/>
  <c r="E37" i="6"/>
  <c r="AA36" i="6"/>
  <c r="Z36" i="6"/>
  <c r="M36" i="6"/>
  <c r="L36" i="6"/>
  <c r="F36" i="6"/>
  <c r="E36" i="6"/>
  <c r="AA35" i="6"/>
  <c r="Z35" i="6"/>
  <c r="M35" i="6"/>
  <c r="L35" i="6"/>
  <c r="F35" i="6"/>
  <c r="E35" i="6"/>
  <c r="AA34" i="6"/>
  <c r="Z34" i="6"/>
  <c r="M34" i="6"/>
  <c r="L34" i="6"/>
  <c r="F34" i="6"/>
  <c r="E34" i="6"/>
  <c r="AA33" i="6"/>
  <c r="Z33" i="6"/>
  <c r="M33" i="6"/>
  <c r="L33" i="6"/>
  <c r="F33" i="6"/>
  <c r="E33" i="6"/>
  <c r="AA32" i="6"/>
  <c r="Z32" i="6"/>
  <c r="M32" i="6"/>
  <c r="L32" i="6"/>
  <c r="F32" i="6"/>
  <c r="E32" i="6"/>
  <c r="AA31" i="6"/>
  <c r="Z31" i="6"/>
  <c r="M31" i="6"/>
  <c r="L31" i="6"/>
  <c r="F31" i="6"/>
  <c r="E31" i="6"/>
  <c r="AA30" i="6"/>
  <c r="Z30" i="6"/>
  <c r="M30" i="6"/>
  <c r="L30" i="6"/>
  <c r="F30" i="6"/>
  <c r="E30" i="6"/>
  <c r="AA29" i="6"/>
  <c r="Z29" i="6"/>
  <c r="M29" i="6"/>
  <c r="L29" i="6"/>
  <c r="F29" i="6"/>
  <c r="E29" i="6"/>
  <c r="AA28" i="6"/>
  <c r="Z28" i="6"/>
  <c r="M28" i="6"/>
  <c r="L28" i="6"/>
  <c r="F28" i="6"/>
  <c r="E28" i="6"/>
  <c r="AA27" i="6"/>
  <c r="Z27" i="6"/>
  <c r="M27" i="6"/>
  <c r="L27" i="6"/>
  <c r="F27" i="6"/>
  <c r="E27" i="6"/>
  <c r="AA26" i="6"/>
  <c r="Z26" i="6"/>
  <c r="M26" i="6"/>
  <c r="L26" i="6"/>
  <c r="F26" i="6"/>
  <c r="E26" i="6"/>
  <c r="AA25" i="6"/>
  <c r="Z25" i="6"/>
  <c r="M25" i="6"/>
  <c r="L25" i="6"/>
  <c r="F25" i="6"/>
  <c r="E25" i="6"/>
  <c r="AA24" i="6"/>
  <c r="Z24" i="6"/>
  <c r="Q24" i="6"/>
  <c r="M24" i="6"/>
  <c r="L24" i="6"/>
  <c r="F24" i="6"/>
  <c r="E24" i="6"/>
  <c r="AA23" i="6"/>
  <c r="Z23" i="6"/>
  <c r="Q23" i="6"/>
  <c r="M23" i="6"/>
  <c r="L23" i="6"/>
  <c r="F23" i="6"/>
  <c r="E23" i="6"/>
  <c r="AA22" i="6"/>
  <c r="Z22" i="6"/>
  <c r="Q22" i="6"/>
  <c r="M22" i="6"/>
  <c r="L22" i="6"/>
  <c r="F22" i="6"/>
  <c r="E22" i="6"/>
  <c r="AA21" i="6"/>
  <c r="Z21" i="6"/>
  <c r="Q21" i="6"/>
  <c r="L15" i="7" s="1"/>
  <c r="M21" i="6"/>
  <c r="L21" i="6"/>
  <c r="F21" i="6"/>
  <c r="E21" i="6"/>
  <c r="AA20" i="6"/>
  <c r="Z20" i="6"/>
  <c r="Q20" i="6"/>
  <c r="K15" i="7" s="1"/>
  <c r="M20" i="6"/>
  <c r="L20" i="6"/>
  <c r="F20" i="6"/>
  <c r="E20" i="6"/>
  <c r="AA19" i="6"/>
  <c r="Z19" i="6"/>
  <c r="Q19" i="6"/>
  <c r="J15" i="7" s="1"/>
  <c r="M19" i="6"/>
  <c r="L19" i="6"/>
  <c r="F19" i="6"/>
  <c r="E19" i="6"/>
  <c r="AA18" i="6"/>
  <c r="Z18" i="6"/>
  <c r="M18" i="6"/>
  <c r="L18" i="6"/>
  <c r="J64" i="6" s="1"/>
  <c r="I15" i="7" s="1"/>
  <c r="F18" i="6"/>
  <c r="E18" i="6"/>
  <c r="AA17" i="6"/>
  <c r="Z17" i="6"/>
  <c r="X64" i="6" s="1"/>
  <c r="Q15" i="7" s="1"/>
  <c r="M17" i="6"/>
  <c r="L17" i="6"/>
  <c r="F17" i="6"/>
  <c r="E17" i="6"/>
  <c r="AA16" i="6"/>
  <c r="Z16" i="6"/>
  <c r="T16" i="6"/>
  <c r="S16" i="6"/>
  <c r="M16" i="6"/>
  <c r="L16" i="6"/>
  <c r="F16" i="6"/>
  <c r="E16" i="6"/>
  <c r="AA15" i="6"/>
  <c r="Z15" i="6"/>
  <c r="T15" i="6"/>
  <c r="S15" i="6"/>
  <c r="M15" i="6"/>
  <c r="L15" i="6"/>
  <c r="F15" i="6"/>
  <c r="E15" i="6"/>
  <c r="AA14" i="6"/>
  <c r="Z14" i="6"/>
  <c r="T14" i="6"/>
  <c r="S14" i="6"/>
  <c r="M14" i="6"/>
  <c r="L14" i="6"/>
  <c r="F14" i="6"/>
  <c r="E14" i="6"/>
  <c r="AA13" i="6"/>
  <c r="Z13" i="6"/>
  <c r="T13" i="6"/>
  <c r="S13" i="6"/>
  <c r="M13" i="6"/>
  <c r="L13" i="6"/>
  <c r="F13" i="6"/>
  <c r="E13" i="6"/>
  <c r="AA12" i="6"/>
  <c r="Z12" i="6"/>
  <c r="T12" i="6"/>
  <c r="S12" i="6"/>
  <c r="M12" i="6"/>
  <c r="L12" i="6"/>
  <c r="F12" i="6"/>
  <c r="E12" i="6"/>
  <c r="AA11" i="6"/>
  <c r="Z11" i="6"/>
  <c r="T11" i="6"/>
  <c r="S11" i="6"/>
  <c r="M11" i="6"/>
  <c r="L11" i="6"/>
  <c r="F11" i="6"/>
  <c r="E11" i="6"/>
  <c r="AA10" i="6"/>
  <c r="Z10" i="6"/>
  <c r="T10" i="6"/>
  <c r="S10" i="6"/>
  <c r="M10" i="6"/>
  <c r="L10" i="6"/>
  <c r="F10" i="6"/>
  <c r="E10" i="6"/>
  <c r="AA9" i="6"/>
  <c r="Z9" i="6"/>
  <c r="T9" i="6"/>
  <c r="S9" i="6"/>
  <c r="M9" i="6"/>
  <c r="L9" i="6"/>
  <c r="F9" i="6"/>
  <c r="E9" i="6"/>
  <c r="AA8" i="6"/>
  <c r="Z8" i="6"/>
  <c r="T8" i="6"/>
  <c r="S8" i="6"/>
  <c r="M8" i="6"/>
  <c r="L8" i="6"/>
  <c r="F8" i="6"/>
  <c r="E8" i="6"/>
  <c r="C64" i="6" s="1"/>
  <c r="E15" i="7" s="1"/>
  <c r="AA7" i="6"/>
  <c r="Z7" i="6"/>
  <c r="T7" i="6"/>
  <c r="S7" i="6"/>
  <c r="M7" i="6"/>
  <c r="L7" i="6"/>
  <c r="F7" i="6"/>
  <c r="E7" i="6"/>
  <c r="AA6" i="6"/>
  <c r="Z6" i="6"/>
  <c r="T6" i="6"/>
  <c r="S6" i="6"/>
  <c r="Q25" i="6" s="1"/>
  <c r="M15" i="7" s="1"/>
  <c r="M6" i="6"/>
  <c r="L6" i="6"/>
  <c r="F6" i="6"/>
  <c r="E6" i="6"/>
  <c r="W2" i="6"/>
  <c r="X63" i="5"/>
  <c r="J63" i="5"/>
  <c r="C63" i="5"/>
  <c r="X62" i="5"/>
  <c r="J62" i="5"/>
  <c r="C62" i="5"/>
  <c r="X61" i="5"/>
  <c r="J61" i="5"/>
  <c r="C61" i="5"/>
  <c r="X60" i="5"/>
  <c r="P14" i="7" s="1"/>
  <c r="J60" i="5"/>
  <c r="H14" i="7" s="1"/>
  <c r="C60" i="5"/>
  <c r="D14" i="7" s="1"/>
  <c r="X59" i="5"/>
  <c r="O14" i="7" s="1"/>
  <c r="J59" i="5"/>
  <c r="C59" i="5"/>
  <c r="C14" i="7" s="1"/>
  <c r="X58" i="5"/>
  <c r="N14" i="7" s="1"/>
  <c r="J58" i="5"/>
  <c r="F14" i="7" s="1"/>
  <c r="C58" i="5"/>
  <c r="B14" i="7" s="1"/>
  <c r="AA55" i="5"/>
  <c r="Z55" i="5"/>
  <c r="M55" i="5"/>
  <c r="L55" i="5"/>
  <c r="F55" i="5"/>
  <c r="E55" i="5"/>
  <c r="AA54" i="5"/>
  <c r="Z54" i="5"/>
  <c r="M54" i="5"/>
  <c r="L54" i="5"/>
  <c r="F54" i="5"/>
  <c r="E54" i="5"/>
  <c r="AA53" i="5"/>
  <c r="Z53" i="5"/>
  <c r="M53" i="5"/>
  <c r="L53" i="5"/>
  <c r="F53" i="5"/>
  <c r="E53" i="5"/>
  <c r="AA52" i="5"/>
  <c r="Z52" i="5"/>
  <c r="M52" i="5"/>
  <c r="L52" i="5"/>
  <c r="F52" i="5"/>
  <c r="E52" i="5"/>
  <c r="AA51" i="5"/>
  <c r="Z51" i="5"/>
  <c r="M51" i="5"/>
  <c r="L51" i="5"/>
  <c r="F51" i="5"/>
  <c r="E51" i="5"/>
  <c r="AA50" i="5"/>
  <c r="Z50" i="5"/>
  <c r="M50" i="5"/>
  <c r="L50" i="5"/>
  <c r="F50" i="5"/>
  <c r="E50" i="5"/>
  <c r="AA49" i="5"/>
  <c r="Z49" i="5"/>
  <c r="M49" i="5"/>
  <c r="L49" i="5"/>
  <c r="F49" i="5"/>
  <c r="E49" i="5"/>
  <c r="AA48" i="5"/>
  <c r="Z48" i="5"/>
  <c r="M48" i="5"/>
  <c r="L48" i="5"/>
  <c r="F48" i="5"/>
  <c r="E48" i="5"/>
  <c r="AA47" i="5"/>
  <c r="Z47" i="5"/>
  <c r="M47" i="5"/>
  <c r="L47" i="5"/>
  <c r="F47" i="5"/>
  <c r="E47" i="5"/>
  <c r="AA46" i="5"/>
  <c r="Z46" i="5"/>
  <c r="M46" i="5"/>
  <c r="L46" i="5"/>
  <c r="F46" i="5"/>
  <c r="E46" i="5"/>
  <c r="AA45" i="5"/>
  <c r="Z45" i="5"/>
  <c r="M45" i="5"/>
  <c r="L45" i="5"/>
  <c r="F45" i="5"/>
  <c r="E45" i="5"/>
  <c r="AA44" i="5"/>
  <c r="Z44" i="5"/>
  <c r="M44" i="5"/>
  <c r="L44" i="5"/>
  <c r="F44" i="5"/>
  <c r="E44" i="5"/>
  <c r="AA43" i="5"/>
  <c r="Z43" i="5"/>
  <c r="M43" i="5"/>
  <c r="L43" i="5"/>
  <c r="F43" i="5"/>
  <c r="E43" i="5"/>
  <c r="AA42" i="5"/>
  <c r="Z42" i="5"/>
  <c r="M42" i="5"/>
  <c r="L42" i="5"/>
  <c r="F42" i="5"/>
  <c r="E42" i="5"/>
  <c r="AA41" i="5"/>
  <c r="Z41" i="5"/>
  <c r="M41" i="5"/>
  <c r="L41" i="5"/>
  <c r="F41" i="5"/>
  <c r="E41" i="5"/>
  <c r="AA40" i="5"/>
  <c r="Z40" i="5"/>
  <c r="M40" i="5"/>
  <c r="L40" i="5"/>
  <c r="F40" i="5"/>
  <c r="E40" i="5"/>
  <c r="AA39" i="5"/>
  <c r="Z39" i="5"/>
  <c r="M39" i="5"/>
  <c r="L39" i="5"/>
  <c r="F39" i="5"/>
  <c r="E39" i="5"/>
  <c r="AA38" i="5"/>
  <c r="Z38" i="5"/>
  <c r="M38" i="5"/>
  <c r="L38" i="5"/>
  <c r="F38" i="5"/>
  <c r="E38" i="5"/>
  <c r="AA37" i="5"/>
  <c r="Z37" i="5"/>
  <c r="M37" i="5"/>
  <c r="L37" i="5"/>
  <c r="F37" i="5"/>
  <c r="E37" i="5"/>
  <c r="AA36" i="5"/>
  <c r="Z36" i="5"/>
  <c r="M36" i="5"/>
  <c r="L36" i="5"/>
  <c r="F36" i="5"/>
  <c r="E36" i="5"/>
  <c r="AA35" i="5"/>
  <c r="Z35" i="5"/>
  <c r="M35" i="5"/>
  <c r="L35" i="5"/>
  <c r="F35" i="5"/>
  <c r="E35" i="5"/>
  <c r="AA34" i="5"/>
  <c r="Z34" i="5"/>
  <c r="M34" i="5"/>
  <c r="L34" i="5"/>
  <c r="F34" i="5"/>
  <c r="E34" i="5"/>
  <c r="AA33" i="5"/>
  <c r="Z33" i="5"/>
  <c r="M33" i="5"/>
  <c r="L33" i="5"/>
  <c r="F33" i="5"/>
  <c r="E33" i="5"/>
  <c r="AA32" i="5"/>
  <c r="Z32" i="5"/>
  <c r="M32" i="5"/>
  <c r="L32" i="5"/>
  <c r="F32" i="5"/>
  <c r="E32" i="5"/>
  <c r="AA31" i="5"/>
  <c r="Z31" i="5"/>
  <c r="M31" i="5"/>
  <c r="L31" i="5"/>
  <c r="F31" i="5"/>
  <c r="E31" i="5"/>
  <c r="AA30" i="5"/>
  <c r="Z30" i="5"/>
  <c r="M30" i="5"/>
  <c r="L30" i="5"/>
  <c r="F30" i="5"/>
  <c r="E30" i="5"/>
  <c r="AA29" i="5"/>
  <c r="Z29" i="5"/>
  <c r="M29" i="5"/>
  <c r="L29" i="5"/>
  <c r="F29" i="5"/>
  <c r="E29" i="5"/>
  <c r="AA28" i="5"/>
  <c r="Z28" i="5"/>
  <c r="M28" i="5"/>
  <c r="L28" i="5"/>
  <c r="F28" i="5"/>
  <c r="E28" i="5"/>
  <c r="AA27" i="5"/>
  <c r="Z27" i="5"/>
  <c r="M27" i="5"/>
  <c r="L27" i="5"/>
  <c r="F27" i="5"/>
  <c r="E27" i="5"/>
  <c r="AA26" i="5"/>
  <c r="Z26" i="5"/>
  <c r="M26" i="5"/>
  <c r="L26" i="5"/>
  <c r="F26" i="5"/>
  <c r="E26" i="5"/>
  <c r="AA25" i="5"/>
  <c r="Z25" i="5"/>
  <c r="Q25" i="5"/>
  <c r="M14" i="7" s="1"/>
  <c r="M25" i="5"/>
  <c r="L25" i="5"/>
  <c r="F25" i="5"/>
  <c r="E25" i="5"/>
  <c r="AA24" i="5"/>
  <c r="Z24" i="5"/>
  <c r="Q24" i="5"/>
  <c r="M24" i="5"/>
  <c r="L24" i="5"/>
  <c r="F24" i="5"/>
  <c r="E24" i="5"/>
  <c r="AA23" i="5"/>
  <c r="Z23" i="5"/>
  <c r="Q23" i="5"/>
  <c r="M23" i="5"/>
  <c r="L23" i="5"/>
  <c r="F23" i="5"/>
  <c r="E23" i="5"/>
  <c r="AA22" i="5"/>
  <c r="Z22" i="5"/>
  <c r="Q22" i="5"/>
  <c r="M22" i="5"/>
  <c r="L22" i="5"/>
  <c r="F22" i="5"/>
  <c r="E22" i="5"/>
  <c r="AA21" i="5"/>
  <c r="Z21" i="5"/>
  <c r="Q21" i="5"/>
  <c r="L14" i="7" s="1"/>
  <c r="M21" i="5"/>
  <c r="L21" i="5"/>
  <c r="F21" i="5"/>
  <c r="E21" i="5"/>
  <c r="AA20" i="5"/>
  <c r="Z20" i="5"/>
  <c r="Q20" i="5"/>
  <c r="M20" i="5"/>
  <c r="L20" i="5"/>
  <c r="F20" i="5"/>
  <c r="E20" i="5"/>
  <c r="AA19" i="5"/>
  <c r="Z19" i="5"/>
  <c r="Q19" i="5"/>
  <c r="J14" i="7" s="1"/>
  <c r="M19" i="5"/>
  <c r="L19" i="5"/>
  <c r="F19" i="5"/>
  <c r="E19" i="5"/>
  <c r="AA18" i="5"/>
  <c r="Z18" i="5"/>
  <c r="M18" i="5"/>
  <c r="L18" i="5"/>
  <c r="F18" i="5"/>
  <c r="E18" i="5"/>
  <c r="AA17" i="5"/>
  <c r="Z17" i="5"/>
  <c r="M17" i="5"/>
  <c r="L17" i="5"/>
  <c r="F17" i="5"/>
  <c r="E17" i="5"/>
  <c r="AA16" i="5"/>
  <c r="Z16" i="5"/>
  <c r="T16" i="5"/>
  <c r="S16" i="5"/>
  <c r="M16" i="5"/>
  <c r="L16" i="5"/>
  <c r="F16" i="5"/>
  <c r="E16" i="5"/>
  <c r="AA15" i="5"/>
  <c r="Z15" i="5"/>
  <c r="T15" i="5"/>
  <c r="S15" i="5"/>
  <c r="M15" i="5"/>
  <c r="L15" i="5"/>
  <c r="F15" i="5"/>
  <c r="E15" i="5"/>
  <c r="AA14" i="5"/>
  <c r="Z14" i="5"/>
  <c r="T14" i="5"/>
  <c r="S14" i="5"/>
  <c r="M14" i="5"/>
  <c r="L14" i="5"/>
  <c r="F14" i="5"/>
  <c r="E14" i="5"/>
  <c r="AA13" i="5"/>
  <c r="Z13" i="5"/>
  <c r="T13" i="5"/>
  <c r="S13" i="5"/>
  <c r="M13" i="5"/>
  <c r="L13" i="5"/>
  <c r="F13" i="5"/>
  <c r="E13" i="5"/>
  <c r="AA12" i="5"/>
  <c r="Z12" i="5"/>
  <c r="T12" i="5"/>
  <c r="S12" i="5"/>
  <c r="M12" i="5"/>
  <c r="L12" i="5"/>
  <c r="F12" i="5"/>
  <c r="E12" i="5"/>
  <c r="AA11" i="5"/>
  <c r="Z11" i="5"/>
  <c r="T11" i="5"/>
  <c r="S11" i="5"/>
  <c r="M11" i="5"/>
  <c r="L11" i="5"/>
  <c r="F11" i="5"/>
  <c r="E11" i="5"/>
  <c r="AA10" i="5"/>
  <c r="Z10" i="5"/>
  <c r="T10" i="5"/>
  <c r="S10" i="5"/>
  <c r="M10" i="5"/>
  <c r="L10" i="5"/>
  <c r="F10" i="5"/>
  <c r="E10" i="5"/>
  <c r="AA9" i="5"/>
  <c r="Z9" i="5"/>
  <c r="T9" i="5"/>
  <c r="S9" i="5"/>
  <c r="M9" i="5"/>
  <c r="L9" i="5"/>
  <c r="F9" i="5"/>
  <c r="E9" i="5"/>
  <c r="AA8" i="5"/>
  <c r="Z8" i="5"/>
  <c r="T8" i="5"/>
  <c r="S8" i="5"/>
  <c r="M8" i="5"/>
  <c r="L8" i="5"/>
  <c r="F8" i="5"/>
  <c r="E8" i="5"/>
  <c r="AA7" i="5"/>
  <c r="Z7" i="5"/>
  <c r="T7" i="5"/>
  <c r="S7" i="5"/>
  <c r="M7" i="5"/>
  <c r="L7" i="5"/>
  <c r="F7" i="5"/>
  <c r="E7" i="5"/>
  <c r="C64" i="5" s="1"/>
  <c r="E14" i="7" s="1"/>
  <c r="AA6" i="5"/>
  <c r="Z6" i="5"/>
  <c r="X64" i="5" s="1"/>
  <c r="Q14" i="7" s="1"/>
  <c r="T6" i="5"/>
  <c r="S6" i="5"/>
  <c r="M6" i="5"/>
  <c r="L6" i="5"/>
  <c r="J64" i="5" s="1"/>
  <c r="I14" i="7" s="1"/>
  <c r="F6" i="5"/>
  <c r="E6" i="5"/>
  <c r="W2" i="5"/>
  <c r="X63" i="4"/>
  <c r="J63" i="4"/>
  <c r="C63" i="4"/>
  <c r="X62" i="4"/>
  <c r="J62" i="4"/>
  <c r="C62" i="4"/>
  <c r="X61" i="4"/>
  <c r="J61" i="4"/>
  <c r="C61" i="4"/>
  <c r="X60" i="4"/>
  <c r="P13" i="7" s="1"/>
  <c r="J60" i="4"/>
  <c r="H13" i="7" s="1"/>
  <c r="C60" i="4"/>
  <c r="D13" i="7" s="1"/>
  <c r="X59" i="4"/>
  <c r="O13" i="7" s="1"/>
  <c r="J59" i="4"/>
  <c r="G13" i="7" s="1"/>
  <c r="C59" i="4"/>
  <c r="C13" i="7" s="1"/>
  <c r="X58" i="4"/>
  <c r="N13" i="7" s="1"/>
  <c r="J58" i="4"/>
  <c r="F13" i="7" s="1"/>
  <c r="C58" i="4"/>
  <c r="B13" i="7" s="1"/>
  <c r="AA55" i="4"/>
  <c r="Z55" i="4"/>
  <c r="M55" i="4"/>
  <c r="L55" i="4"/>
  <c r="F55" i="4"/>
  <c r="E55" i="4"/>
  <c r="AA54" i="4"/>
  <c r="Z54" i="4"/>
  <c r="M54" i="4"/>
  <c r="L54" i="4"/>
  <c r="F54" i="4"/>
  <c r="E54" i="4"/>
  <c r="AA53" i="4"/>
  <c r="Z53" i="4"/>
  <c r="M53" i="4"/>
  <c r="L53" i="4"/>
  <c r="F53" i="4"/>
  <c r="E53" i="4"/>
  <c r="AA52" i="4"/>
  <c r="Z52" i="4"/>
  <c r="M52" i="4"/>
  <c r="L52" i="4"/>
  <c r="F52" i="4"/>
  <c r="E52" i="4"/>
  <c r="AA51" i="4"/>
  <c r="Z51" i="4"/>
  <c r="M51" i="4"/>
  <c r="L51" i="4"/>
  <c r="F51" i="4"/>
  <c r="E51" i="4"/>
  <c r="AA50" i="4"/>
  <c r="Z50" i="4"/>
  <c r="M50" i="4"/>
  <c r="L50" i="4"/>
  <c r="F50" i="4"/>
  <c r="E50" i="4"/>
  <c r="AA49" i="4"/>
  <c r="Z49" i="4"/>
  <c r="M49" i="4"/>
  <c r="L49" i="4"/>
  <c r="F49" i="4"/>
  <c r="E49" i="4"/>
  <c r="AA48" i="4"/>
  <c r="Z48" i="4"/>
  <c r="M48" i="4"/>
  <c r="L48" i="4"/>
  <c r="F48" i="4"/>
  <c r="E48" i="4"/>
  <c r="AA47" i="4"/>
  <c r="Z47" i="4"/>
  <c r="M47" i="4"/>
  <c r="L47" i="4"/>
  <c r="F47" i="4"/>
  <c r="E47" i="4"/>
  <c r="AA46" i="4"/>
  <c r="Z46" i="4"/>
  <c r="M46" i="4"/>
  <c r="L46" i="4"/>
  <c r="F46" i="4"/>
  <c r="E46" i="4"/>
  <c r="AA45" i="4"/>
  <c r="Z45" i="4"/>
  <c r="M45" i="4"/>
  <c r="L45" i="4"/>
  <c r="F45" i="4"/>
  <c r="E45" i="4"/>
  <c r="AA44" i="4"/>
  <c r="Z44" i="4"/>
  <c r="M44" i="4"/>
  <c r="L44" i="4"/>
  <c r="F44" i="4"/>
  <c r="E44" i="4"/>
  <c r="AA43" i="4"/>
  <c r="Z43" i="4"/>
  <c r="M43" i="4"/>
  <c r="L43" i="4"/>
  <c r="F43" i="4"/>
  <c r="E43" i="4"/>
  <c r="AA42" i="4"/>
  <c r="Z42" i="4"/>
  <c r="M42" i="4"/>
  <c r="L42" i="4"/>
  <c r="F42" i="4"/>
  <c r="E42" i="4"/>
  <c r="AA41" i="4"/>
  <c r="Z41" i="4"/>
  <c r="M41" i="4"/>
  <c r="L41" i="4"/>
  <c r="F41" i="4"/>
  <c r="E41" i="4"/>
  <c r="AA40" i="4"/>
  <c r="Z40" i="4"/>
  <c r="M40" i="4"/>
  <c r="L40" i="4"/>
  <c r="F40" i="4"/>
  <c r="E40" i="4"/>
  <c r="AA39" i="4"/>
  <c r="Z39" i="4"/>
  <c r="M39" i="4"/>
  <c r="L39" i="4"/>
  <c r="F39" i="4"/>
  <c r="E39" i="4"/>
  <c r="AA38" i="4"/>
  <c r="Z38" i="4"/>
  <c r="M38" i="4"/>
  <c r="L38" i="4"/>
  <c r="F38" i="4"/>
  <c r="E38" i="4"/>
  <c r="AA37" i="4"/>
  <c r="Z37" i="4"/>
  <c r="M37" i="4"/>
  <c r="L37" i="4"/>
  <c r="F37" i="4"/>
  <c r="E37" i="4"/>
  <c r="AA36" i="4"/>
  <c r="Z36" i="4"/>
  <c r="M36" i="4"/>
  <c r="L36" i="4"/>
  <c r="F36" i="4"/>
  <c r="E36" i="4"/>
  <c r="AA35" i="4"/>
  <c r="Z35" i="4"/>
  <c r="M35" i="4"/>
  <c r="L35" i="4"/>
  <c r="F35" i="4"/>
  <c r="E35" i="4"/>
  <c r="AA34" i="4"/>
  <c r="Z34" i="4"/>
  <c r="M34" i="4"/>
  <c r="L34" i="4"/>
  <c r="F34" i="4"/>
  <c r="E34" i="4"/>
  <c r="AA33" i="4"/>
  <c r="Z33" i="4"/>
  <c r="M33" i="4"/>
  <c r="L33" i="4"/>
  <c r="F33" i="4"/>
  <c r="E33" i="4"/>
  <c r="AA32" i="4"/>
  <c r="Z32" i="4"/>
  <c r="M32" i="4"/>
  <c r="L32" i="4"/>
  <c r="F32" i="4"/>
  <c r="E32" i="4"/>
  <c r="AA31" i="4"/>
  <c r="Z31" i="4"/>
  <c r="M31" i="4"/>
  <c r="L31" i="4"/>
  <c r="F31" i="4"/>
  <c r="E31" i="4"/>
  <c r="AA30" i="4"/>
  <c r="Z30" i="4"/>
  <c r="M30" i="4"/>
  <c r="L30" i="4"/>
  <c r="F30" i="4"/>
  <c r="E30" i="4"/>
  <c r="AA29" i="4"/>
  <c r="Z29" i="4"/>
  <c r="M29" i="4"/>
  <c r="L29" i="4"/>
  <c r="F29" i="4"/>
  <c r="E29" i="4"/>
  <c r="AA28" i="4"/>
  <c r="Z28" i="4"/>
  <c r="M28" i="4"/>
  <c r="L28" i="4"/>
  <c r="F28" i="4"/>
  <c r="E28" i="4"/>
  <c r="AA27" i="4"/>
  <c r="Z27" i="4"/>
  <c r="M27" i="4"/>
  <c r="L27" i="4"/>
  <c r="F27" i="4"/>
  <c r="E27" i="4"/>
  <c r="AA26" i="4"/>
  <c r="Z26" i="4"/>
  <c r="M26" i="4"/>
  <c r="L26" i="4"/>
  <c r="F26" i="4"/>
  <c r="E26" i="4"/>
  <c r="AA25" i="4"/>
  <c r="Z25" i="4"/>
  <c r="M25" i="4"/>
  <c r="L25" i="4"/>
  <c r="F25" i="4"/>
  <c r="E25" i="4"/>
  <c r="AA24" i="4"/>
  <c r="Z24" i="4"/>
  <c r="Q24" i="4"/>
  <c r="M24" i="4"/>
  <c r="L24" i="4"/>
  <c r="F24" i="4"/>
  <c r="E24" i="4"/>
  <c r="AA23" i="4"/>
  <c r="Z23" i="4"/>
  <c r="Q23" i="4"/>
  <c r="M23" i="4"/>
  <c r="L23" i="4"/>
  <c r="F23" i="4"/>
  <c r="E23" i="4"/>
  <c r="AA22" i="4"/>
  <c r="Z22" i="4"/>
  <c r="Q22" i="4"/>
  <c r="M22" i="4"/>
  <c r="L22" i="4"/>
  <c r="F22" i="4"/>
  <c r="E22" i="4"/>
  <c r="AA21" i="4"/>
  <c r="Z21" i="4"/>
  <c r="Q21" i="4"/>
  <c r="L13" i="7" s="1"/>
  <c r="M21" i="4"/>
  <c r="L21" i="4"/>
  <c r="F21" i="4"/>
  <c r="E21" i="4"/>
  <c r="AA20" i="4"/>
  <c r="Z20" i="4"/>
  <c r="Q20" i="4"/>
  <c r="K13" i="7" s="1"/>
  <c r="M20" i="4"/>
  <c r="L20" i="4"/>
  <c r="F20" i="4"/>
  <c r="E20" i="4"/>
  <c r="AA19" i="4"/>
  <c r="Z19" i="4"/>
  <c r="Q19" i="4"/>
  <c r="J13" i="7" s="1"/>
  <c r="M19" i="4"/>
  <c r="L19" i="4"/>
  <c r="F19" i="4"/>
  <c r="E19" i="4"/>
  <c r="AA18" i="4"/>
  <c r="Z18" i="4"/>
  <c r="M18" i="4"/>
  <c r="L18" i="4"/>
  <c r="F18" i="4"/>
  <c r="E18" i="4"/>
  <c r="AA17" i="4"/>
  <c r="Z17" i="4"/>
  <c r="M17" i="4"/>
  <c r="L17" i="4"/>
  <c r="F17" i="4"/>
  <c r="E17" i="4"/>
  <c r="AA16" i="4"/>
  <c r="Z16" i="4"/>
  <c r="T16" i="4"/>
  <c r="S16" i="4"/>
  <c r="M16" i="4"/>
  <c r="L16" i="4"/>
  <c r="F16" i="4"/>
  <c r="E16" i="4"/>
  <c r="AA15" i="4"/>
  <c r="Z15" i="4"/>
  <c r="T15" i="4"/>
  <c r="S15" i="4"/>
  <c r="M15" i="4"/>
  <c r="L15" i="4"/>
  <c r="F15" i="4"/>
  <c r="E15" i="4"/>
  <c r="AA14" i="4"/>
  <c r="Z14" i="4"/>
  <c r="T14" i="4"/>
  <c r="S14" i="4"/>
  <c r="M14" i="4"/>
  <c r="L14" i="4"/>
  <c r="F14" i="4"/>
  <c r="E14" i="4"/>
  <c r="AA13" i="4"/>
  <c r="Z13" i="4"/>
  <c r="T13" i="4"/>
  <c r="S13" i="4"/>
  <c r="M13" i="4"/>
  <c r="L13" i="4"/>
  <c r="F13" i="4"/>
  <c r="E13" i="4"/>
  <c r="AA12" i="4"/>
  <c r="Z12" i="4"/>
  <c r="T12" i="4"/>
  <c r="S12" i="4"/>
  <c r="M12" i="4"/>
  <c r="L12" i="4"/>
  <c r="F12" i="4"/>
  <c r="E12" i="4"/>
  <c r="AA11" i="4"/>
  <c r="Z11" i="4"/>
  <c r="T11" i="4"/>
  <c r="S11" i="4"/>
  <c r="M11" i="4"/>
  <c r="L11" i="4"/>
  <c r="F11" i="4"/>
  <c r="E11" i="4"/>
  <c r="AA10" i="4"/>
  <c r="Z10" i="4"/>
  <c r="T10" i="4"/>
  <c r="S10" i="4"/>
  <c r="M10" i="4"/>
  <c r="L10" i="4"/>
  <c r="F10" i="4"/>
  <c r="E10" i="4"/>
  <c r="AA9" i="4"/>
  <c r="Z9" i="4"/>
  <c r="T9" i="4"/>
  <c r="S9" i="4"/>
  <c r="M9" i="4"/>
  <c r="L9" i="4"/>
  <c r="F9" i="4"/>
  <c r="E9" i="4"/>
  <c r="AA8" i="4"/>
  <c r="Z8" i="4"/>
  <c r="X64" i="4" s="1"/>
  <c r="Q13" i="7" s="1"/>
  <c r="T8" i="4"/>
  <c r="S8" i="4"/>
  <c r="M8" i="4"/>
  <c r="L8" i="4"/>
  <c r="F8" i="4"/>
  <c r="E8" i="4"/>
  <c r="AA7" i="4"/>
  <c r="Z7" i="4"/>
  <c r="T7" i="4"/>
  <c r="S7" i="4"/>
  <c r="M7" i="4"/>
  <c r="L7" i="4"/>
  <c r="F7" i="4"/>
  <c r="E7" i="4"/>
  <c r="AA6" i="4"/>
  <c r="Z6" i="4"/>
  <c r="T6" i="4"/>
  <c r="S6" i="4"/>
  <c r="M6" i="4"/>
  <c r="L6" i="4"/>
  <c r="F6" i="4"/>
  <c r="E6" i="4"/>
  <c r="W2" i="4"/>
  <c r="X63" i="3"/>
  <c r="J63" i="3"/>
  <c r="C63" i="3"/>
  <c r="X62" i="3"/>
  <c r="J62" i="3"/>
  <c r="C62" i="3"/>
  <c r="X61" i="3"/>
  <c r="J61" i="3"/>
  <c r="C61" i="3"/>
  <c r="X60" i="3"/>
  <c r="P12" i="7" s="1"/>
  <c r="J60" i="3"/>
  <c r="H12" i="7" s="1"/>
  <c r="C60" i="3"/>
  <c r="D12" i="7" s="1"/>
  <c r="X59" i="3"/>
  <c r="J59" i="3"/>
  <c r="G12" i="7" s="1"/>
  <c r="C59" i="3"/>
  <c r="C12" i="7" s="1"/>
  <c r="X58" i="3"/>
  <c r="N12" i="7" s="1"/>
  <c r="J58" i="3"/>
  <c r="F12" i="7" s="1"/>
  <c r="C58" i="3"/>
  <c r="B12" i="7" s="1"/>
  <c r="AA55" i="3"/>
  <c r="Z55" i="3"/>
  <c r="M55" i="3"/>
  <c r="L55" i="3"/>
  <c r="F55" i="3"/>
  <c r="E55" i="3"/>
  <c r="AA54" i="3"/>
  <c r="Z54" i="3"/>
  <c r="M54" i="3"/>
  <c r="L54" i="3"/>
  <c r="F54" i="3"/>
  <c r="E54" i="3"/>
  <c r="AA53" i="3"/>
  <c r="Z53" i="3"/>
  <c r="M53" i="3"/>
  <c r="L53" i="3"/>
  <c r="F53" i="3"/>
  <c r="E53" i="3"/>
  <c r="AA52" i="3"/>
  <c r="Z52" i="3"/>
  <c r="M52" i="3"/>
  <c r="L52" i="3"/>
  <c r="F52" i="3"/>
  <c r="E52" i="3"/>
  <c r="AA51" i="3"/>
  <c r="Z51" i="3"/>
  <c r="M51" i="3"/>
  <c r="L51" i="3"/>
  <c r="F51" i="3"/>
  <c r="E51" i="3"/>
  <c r="AA50" i="3"/>
  <c r="Z50" i="3"/>
  <c r="M50" i="3"/>
  <c r="L50" i="3"/>
  <c r="F50" i="3"/>
  <c r="E50" i="3"/>
  <c r="AA49" i="3"/>
  <c r="Z49" i="3"/>
  <c r="M49" i="3"/>
  <c r="L49" i="3"/>
  <c r="F49" i="3"/>
  <c r="E49" i="3"/>
  <c r="AA48" i="3"/>
  <c r="Z48" i="3"/>
  <c r="M48" i="3"/>
  <c r="L48" i="3"/>
  <c r="F48" i="3"/>
  <c r="E48" i="3"/>
  <c r="AA47" i="3"/>
  <c r="Z47" i="3"/>
  <c r="M47" i="3"/>
  <c r="L47" i="3"/>
  <c r="F47" i="3"/>
  <c r="E47" i="3"/>
  <c r="AA46" i="3"/>
  <c r="Z46" i="3"/>
  <c r="M46" i="3"/>
  <c r="L46" i="3"/>
  <c r="F46" i="3"/>
  <c r="E46" i="3"/>
  <c r="AA45" i="3"/>
  <c r="Z45" i="3"/>
  <c r="M45" i="3"/>
  <c r="L45" i="3"/>
  <c r="F45" i="3"/>
  <c r="E45" i="3"/>
  <c r="AA44" i="3"/>
  <c r="Z44" i="3"/>
  <c r="M44" i="3"/>
  <c r="L44" i="3"/>
  <c r="F44" i="3"/>
  <c r="E44" i="3"/>
  <c r="AA43" i="3"/>
  <c r="Z43" i="3"/>
  <c r="M43" i="3"/>
  <c r="L43" i="3"/>
  <c r="F43" i="3"/>
  <c r="E43" i="3"/>
  <c r="AA42" i="3"/>
  <c r="Z42" i="3"/>
  <c r="M42" i="3"/>
  <c r="L42" i="3"/>
  <c r="F42" i="3"/>
  <c r="E42" i="3"/>
  <c r="AA41" i="3"/>
  <c r="Z41" i="3"/>
  <c r="M41" i="3"/>
  <c r="L41" i="3"/>
  <c r="F41" i="3"/>
  <c r="E41" i="3"/>
  <c r="AA40" i="3"/>
  <c r="Z40" i="3"/>
  <c r="M40" i="3"/>
  <c r="L40" i="3"/>
  <c r="F40" i="3"/>
  <c r="E40" i="3"/>
  <c r="AA39" i="3"/>
  <c r="Z39" i="3"/>
  <c r="M39" i="3"/>
  <c r="L39" i="3"/>
  <c r="F39" i="3"/>
  <c r="E39" i="3"/>
  <c r="AA38" i="3"/>
  <c r="Z38" i="3"/>
  <c r="M38" i="3"/>
  <c r="L38" i="3"/>
  <c r="F38" i="3"/>
  <c r="E38" i="3"/>
  <c r="AA37" i="3"/>
  <c r="Z37" i="3"/>
  <c r="M37" i="3"/>
  <c r="L37" i="3"/>
  <c r="F37" i="3"/>
  <c r="E37" i="3"/>
  <c r="AA36" i="3"/>
  <c r="Z36" i="3"/>
  <c r="M36" i="3"/>
  <c r="L36" i="3"/>
  <c r="F36" i="3"/>
  <c r="E36" i="3"/>
  <c r="AA35" i="3"/>
  <c r="Z35" i="3"/>
  <c r="M35" i="3"/>
  <c r="L35" i="3"/>
  <c r="F35" i="3"/>
  <c r="E35" i="3"/>
  <c r="AA34" i="3"/>
  <c r="Z34" i="3"/>
  <c r="M34" i="3"/>
  <c r="L34" i="3"/>
  <c r="F34" i="3"/>
  <c r="E34" i="3"/>
  <c r="AA33" i="3"/>
  <c r="Z33" i="3"/>
  <c r="M33" i="3"/>
  <c r="L33" i="3"/>
  <c r="F33" i="3"/>
  <c r="E33" i="3"/>
  <c r="AA32" i="3"/>
  <c r="Z32" i="3"/>
  <c r="M32" i="3"/>
  <c r="L32" i="3"/>
  <c r="F32" i="3"/>
  <c r="E32" i="3"/>
  <c r="AA31" i="3"/>
  <c r="Z31" i="3"/>
  <c r="M31" i="3"/>
  <c r="L31" i="3"/>
  <c r="F31" i="3"/>
  <c r="E31" i="3"/>
  <c r="AA30" i="3"/>
  <c r="Z30" i="3"/>
  <c r="M30" i="3"/>
  <c r="L30" i="3"/>
  <c r="F30" i="3"/>
  <c r="E30" i="3"/>
  <c r="AA29" i="3"/>
  <c r="Z29" i="3"/>
  <c r="M29" i="3"/>
  <c r="L29" i="3"/>
  <c r="F29" i="3"/>
  <c r="E29" i="3"/>
  <c r="AA28" i="3"/>
  <c r="Z28" i="3"/>
  <c r="M28" i="3"/>
  <c r="L28" i="3"/>
  <c r="F28" i="3"/>
  <c r="E28" i="3"/>
  <c r="AA27" i="3"/>
  <c r="Z27" i="3"/>
  <c r="M27" i="3"/>
  <c r="L27" i="3"/>
  <c r="F27" i="3"/>
  <c r="E27" i="3"/>
  <c r="AA26" i="3"/>
  <c r="Z26" i="3"/>
  <c r="M26" i="3"/>
  <c r="L26" i="3"/>
  <c r="F26" i="3"/>
  <c r="E26" i="3"/>
  <c r="AA25" i="3"/>
  <c r="Z25" i="3"/>
  <c r="M25" i="3"/>
  <c r="L25" i="3"/>
  <c r="F25" i="3"/>
  <c r="E25" i="3"/>
  <c r="AA24" i="3"/>
  <c r="Z24" i="3"/>
  <c r="Q24" i="3"/>
  <c r="M24" i="3"/>
  <c r="L24" i="3"/>
  <c r="F24" i="3"/>
  <c r="E24" i="3"/>
  <c r="AA23" i="3"/>
  <c r="Z23" i="3"/>
  <c r="Q23" i="3"/>
  <c r="M23" i="3"/>
  <c r="L23" i="3"/>
  <c r="F23" i="3"/>
  <c r="E23" i="3"/>
  <c r="AA22" i="3"/>
  <c r="Z22" i="3"/>
  <c r="Q22" i="3"/>
  <c r="M22" i="3"/>
  <c r="L22" i="3"/>
  <c r="F22" i="3"/>
  <c r="E22" i="3"/>
  <c r="AA21" i="3"/>
  <c r="Z21" i="3"/>
  <c r="Q21" i="3"/>
  <c r="L12" i="7" s="1"/>
  <c r="M21" i="3"/>
  <c r="L21" i="3"/>
  <c r="F21" i="3"/>
  <c r="E21" i="3"/>
  <c r="AA20" i="3"/>
  <c r="Z20" i="3"/>
  <c r="X64" i="3" s="1"/>
  <c r="Q12" i="7" s="1"/>
  <c r="Q20" i="3"/>
  <c r="K12" i="7" s="1"/>
  <c r="M20" i="3"/>
  <c r="L20" i="3"/>
  <c r="F20" i="3"/>
  <c r="E20" i="3"/>
  <c r="AA19" i="3"/>
  <c r="Z19" i="3"/>
  <c r="Q19" i="3"/>
  <c r="J12" i="7" s="1"/>
  <c r="M19" i="3"/>
  <c r="L19" i="3"/>
  <c r="F19" i="3"/>
  <c r="E19" i="3"/>
  <c r="AA18" i="3"/>
  <c r="Z18" i="3"/>
  <c r="M18" i="3"/>
  <c r="L18" i="3"/>
  <c r="F18" i="3"/>
  <c r="E18" i="3"/>
  <c r="AA17" i="3"/>
  <c r="Z17" i="3"/>
  <c r="M17" i="3"/>
  <c r="L17" i="3"/>
  <c r="F17" i="3"/>
  <c r="E17" i="3"/>
  <c r="AA16" i="3"/>
  <c r="Z16" i="3"/>
  <c r="T16" i="3"/>
  <c r="S16" i="3"/>
  <c r="M16" i="3"/>
  <c r="L16" i="3"/>
  <c r="F16" i="3"/>
  <c r="E16" i="3"/>
  <c r="AA15" i="3"/>
  <c r="Z15" i="3"/>
  <c r="T15" i="3"/>
  <c r="S15" i="3"/>
  <c r="M15" i="3"/>
  <c r="L15" i="3"/>
  <c r="F15" i="3"/>
  <c r="E15" i="3"/>
  <c r="AA14" i="3"/>
  <c r="Z14" i="3"/>
  <c r="T14" i="3"/>
  <c r="S14" i="3"/>
  <c r="M14" i="3"/>
  <c r="L14" i="3"/>
  <c r="F14" i="3"/>
  <c r="E14" i="3"/>
  <c r="AA13" i="3"/>
  <c r="Z13" i="3"/>
  <c r="T13" i="3"/>
  <c r="S13" i="3"/>
  <c r="M13" i="3"/>
  <c r="L13" i="3"/>
  <c r="F13" i="3"/>
  <c r="E13" i="3"/>
  <c r="AA12" i="3"/>
  <c r="Z12" i="3"/>
  <c r="T12" i="3"/>
  <c r="S12" i="3"/>
  <c r="M12" i="3"/>
  <c r="L12" i="3"/>
  <c r="F12" i="3"/>
  <c r="E12" i="3"/>
  <c r="AA11" i="3"/>
  <c r="Z11" i="3"/>
  <c r="T11" i="3"/>
  <c r="S11" i="3"/>
  <c r="M11" i="3"/>
  <c r="L11" i="3"/>
  <c r="F11" i="3"/>
  <c r="E11" i="3"/>
  <c r="AA10" i="3"/>
  <c r="Z10" i="3"/>
  <c r="T10" i="3"/>
  <c r="S10" i="3"/>
  <c r="M10" i="3"/>
  <c r="L10" i="3"/>
  <c r="F10" i="3"/>
  <c r="E10" i="3"/>
  <c r="AA9" i="3"/>
  <c r="Z9" i="3"/>
  <c r="T9" i="3"/>
  <c r="S9" i="3"/>
  <c r="M9" i="3"/>
  <c r="L9" i="3"/>
  <c r="F9" i="3"/>
  <c r="E9" i="3"/>
  <c r="AA8" i="3"/>
  <c r="Z8" i="3"/>
  <c r="T8" i="3"/>
  <c r="S8" i="3"/>
  <c r="M8" i="3"/>
  <c r="L8" i="3"/>
  <c r="F8" i="3"/>
  <c r="E8" i="3"/>
  <c r="AA7" i="3"/>
  <c r="Z7" i="3"/>
  <c r="T7" i="3"/>
  <c r="S7" i="3"/>
  <c r="M7" i="3"/>
  <c r="L7" i="3"/>
  <c r="F7" i="3"/>
  <c r="E7" i="3"/>
  <c r="AA6" i="3"/>
  <c r="Z6" i="3"/>
  <c r="T6" i="3"/>
  <c r="S6" i="3"/>
  <c r="M6" i="3"/>
  <c r="L6" i="3"/>
  <c r="F6" i="3"/>
  <c r="E6" i="3"/>
  <c r="W2" i="3"/>
  <c r="X63" i="2"/>
  <c r="J63" i="2"/>
  <c r="C63" i="2"/>
  <c r="X62" i="2"/>
  <c r="J62" i="2"/>
  <c r="C62" i="2"/>
  <c r="X61" i="2"/>
  <c r="J61" i="2"/>
  <c r="C61" i="2"/>
  <c r="X60" i="2"/>
  <c r="P11" i="7" s="1"/>
  <c r="J60" i="2"/>
  <c r="H11" i="7" s="1"/>
  <c r="C60" i="2"/>
  <c r="D11" i="7" s="1"/>
  <c r="X59" i="2"/>
  <c r="J59" i="2"/>
  <c r="G11" i="7" s="1"/>
  <c r="C59" i="2"/>
  <c r="C11" i="7" s="1"/>
  <c r="X58" i="2"/>
  <c r="N11" i="7" s="1"/>
  <c r="J58" i="2"/>
  <c r="F11" i="7" s="1"/>
  <c r="C58" i="2"/>
  <c r="B11" i="7" s="1"/>
  <c r="AA55" i="2"/>
  <c r="Z55" i="2"/>
  <c r="M55" i="2"/>
  <c r="L55" i="2"/>
  <c r="F55" i="2"/>
  <c r="E55" i="2"/>
  <c r="AA54" i="2"/>
  <c r="Z54" i="2"/>
  <c r="M54" i="2"/>
  <c r="L54" i="2"/>
  <c r="F54" i="2"/>
  <c r="E54" i="2"/>
  <c r="AA53" i="2"/>
  <c r="Z53" i="2"/>
  <c r="M53" i="2"/>
  <c r="L53" i="2"/>
  <c r="F53" i="2"/>
  <c r="E53" i="2"/>
  <c r="AA52" i="2"/>
  <c r="Z52" i="2"/>
  <c r="M52" i="2"/>
  <c r="L52" i="2"/>
  <c r="F52" i="2"/>
  <c r="E52" i="2"/>
  <c r="AA51" i="2"/>
  <c r="Z51" i="2"/>
  <c r="M51" i="2"/>
  <c r="L51" i="2"/>
  <c r="F51" i="2"/>
  <c r="E51" i="2"/>
  <c r="AA50" i="2"/>
  <c r="Z50" i="2"/>
  <c r="M50" i="2"/>
  <c r="L50" i="2"/>
  <c r="F50" i="2"/>
  <c r="E50" i="2"/>
  <c r="AA49" i="2"/>
  <c r="Z49" i="2"/>
  <c r="M49" i="2"/>
  <c r="L49" i="2"/>
  <c r="F49" i="2"/>
  <c r="E49" i="2"/>
  <c r="AA48" i="2"/>
  <c r="Z48" i="2"/>
  <c r="M48" i="2"/>
  <c r="L48" i="2"/>
  <c r="F48" i="2"/>
  <c r="E48" i="2"/>
  <c r="AA47" i="2"/>
  <c r="Z47" i="2"/>
  <c r="M47" i="2"/>
  <c r="L47" i="2"/>
  <c r="F47" i="2"/>
  <c r="E47" i="2"/>
  <c r="AA46" i="2"/>
  <c r="Z46" i="2"/>
  <c r="M46" i="2"/>
  <c r="L46" i="2"/>
  <c r="F46" i="2"/>
  <c r="E46" i="2"/>
  <c r="AA45" i="2"/>
  <c r="Z45" i="2"/>
  <c r="M45" i="2"/>
  <c r="L45" i="2"/>
  <c r="F45" i="2"/>
  <c r="E45" i="2"/>
  <c r="AA44" i="2"/>
  <c r="Z44" i="2"/>
  <c r="M44" i="2"/>
  <c r="L44" i="2"/>
  <c r="F44" i="2"/>
  <c r="E44" i="2"/>
  <c r="AA43" i="2"/>
  <c r="Z43" i="2"/>
  <c r="M43" i="2"/>
  <c r="L43" i="2"/>
  <c r="F43" i="2"/>
  <c r="E43" i="2"/>
  <c r="AA42" i="2"/>
  <c r="Z42" i="2"/>
  <c r="M42" i="2"/>
  <c r="L42" i="2"/>
  <c r="F42" i="2"/>
  <c r="E42" i="2"/>
  <c r="AA41" i="2"/>
  <c r="Z41" i="2"/>
  <c r="M41" i="2"/>
  <c r="L41" i="2"/>
  <c r="F41" i="2"/>
  <c r="E41" i="2"/>
  <c r="AA40" i="2"/>
  <c r="Z40" i="2"/>
  <c r="M40" i="2"/>
  <c r="L40" i="2"/>
  <c r="F40" i="2"/>
  <c r="E40" i="2"/>
  <c r="AA39" i="2"/>
  <c r="Z39" i="2"/>
  <c r="M39" i="2"/>
  <c r="L39" i="2"/>
  <c r="F39" i="2"/>
  <c r="E39" i="2"/>
  <c r="AA38" i="2"/>
  <c r="Z38" i="2"/>
  <c r="M38" i="2"/>
  <c r="L38" i="2"/>
  <c r="F38" i="2"/>
  <c r="E38" i="2"/>
  <c r="AA37" i="2"/>
  <c r="Z37" i="2"/>
  <c r="M37" i="2"/>
  <c r="L37" i="2"/>
  <c r="F37" i="2"/>
  <c r="E37" i="2"/>
  <c r="AA36" i="2"/>
  <c r="Z36" i="2"/>
  <c r="M36" i="2"/>
  <c r="L36" i="2"/>
  <c r="F36" i="2"/>
  <c r="E36" i="2"/>
  <c r="AA35" i="2"/>
  <c r="Z35" i="2"/>
  <c r="M35" i="2"/>
  <c r="L35" i="2"/>
  <c r="F35" i="2"/>
  <c r="E35" i="2"/>
  <c r="AA34" i="2"/>
  <c r="Z34" i="2"/>
  <c r="M34" i="2"/>
  <c r="L34" i="2"/>
  <c r="F34" i="2"/>
  <c r="E34" i="2"/>
  <c r="AA33" i="2"/>
  <c r="Z33" i="2"/>
  <c r="M33" i="2"/>
  <c r="L33" i="2"/>
  <c r="F33" i="2"/>
  <c r="E33" i="2"/>
  <c r="AA32" i="2"/>
  <c r="Z32" i="2"/>
  <c r="M32" i="2"/>
  <c r="L32" i="2"/>
  <c r="F32" i="2"/>
  <c r="E32" i="2"/>
  <c r="AA31" i="2"/>
  <c r="Z31" i="2"/>
  <c r="M31" i="2"/>
  <c r="L31" i="2"/>
  <c r="F31" i="2"/>
  <c r="E31" i="2"/>
  <c r="AA30" i="2"/>
  <c r="Z30" i="2"/>
  <c r="M30" i="2"/>
  <c r="L30" i="2"/>
  <c r="F30" i="2"/>
  <c r="E30" i="2"/>
  <c r="AA29" i="2"/>
  <c r="Z29" i="2"/>
  <c r="M29" i="2"/>
  <c r="L29" i="2"/>
  <c r="F29" i="2"/>
  <c r="E29" i="2"/>
  <c r="AA28" i="2"/>
  <c r="Z28" i="2"/>
  <c r="M28" i="2"/>
  <c r="L28" i="2"/>
  <c r="F28" i="2"/>
  <c r="E28" i="2"/>
  <c r="AA27" i="2"/>
  <c r="Z27" i="2"/>
  <c r="M27" i="2"/>
  <c r="L27" i="2"/>
  <c r="F27" i="2"/>
  <c r="E27" i="2"/>
  <c r="AA26" i="2"/>
  <c r="Z26" i="2"/>
  <c r="M26" i="2"/>
  <c r="L26" i="2"/>
  <c r="F26" i="2"/>
  <c r="E26" i="2"/>
  <c r="AA25" i="2"/>
  <c r="Z25" i="2"/>
  <c r="M25" i="2"/>
  <c r="L25" i="2"/>
  <c r="F25" i="2"/>
  <c r="E25" i="2"/>
  <c r="AA24" i="2"/>
  <c r="Z24" i="2"/>
  <c r="Q24" i="2"/>
  <c r="M24" i="2"/>
  <c r="L24" i="2"/>
  <c r="F24" i="2"/>
  <c r="E24" i="2"/>
  <c r="AA23" i="2"/>
  <c r="Z23" i="2"/>
  <c r="Q23" i="2"/>
  <c r="M23" i="2"/>
  <c r="L23" i="2"/>
  <c r="F23" i="2"/>
  <c r="E23" i="2"/>
  <c r="AA22" i="2"/>
  <c r="Z22" i="2"/>
  <c r="Q22" i="2"/>
  <c r="M22" i="2"/>
  <c r="L22" i="2"/>
  <c r="F22" i="2"/>
  <c r="E22" i="2"/>
  <c r="AA21" i="2"/>
  <c r="Z21" i="2"/>
  <c r="Q21" i="2"/>
  <c r="L11" i="7" s="1"/>
  <c r="M21" i="2"/>
  <c r="L21" i="2"/>
  <c r="F21" i="2"/>
  <c r="E21" i="2"/>
  <c r="AA20" i="2"/>
  <c r="Z20" i="2"/>
  <c r="Q20" i="2"/>
  <c r="K11" i="7" s="1"/>
  <c r="M20" i="2"/>
  <c r="L20" i="2"/>
  <c r="F20" i="2"/>
  <c r="E20" i="2"/>
  <c r="AA19" i="2"/>
  <c r="Z19" i="2"/>
  <c r="Q19" i="2"/>
  <c r="J11" i="7" s="1"/>
  <c r="M19" i="2"/>
  <c r="L19" i="2"/>
  <c r="F19" i="2"/>
  <c r="E19" i="2"/>
  <c r="AA18" i="2"/>
  <c r="Z18" i="2"/>
  <c r="M18" i="2"/>
  <c r="L18" i="2"/>
  <c r="F18" i="2"/>
  <c r="E18" i="2"/>
  <c r="AA17" i="2"/>
  <c r="Z17" i="2"/>
  <c r="X64" i="2" s="1"/>
  <c r="Q11" i="7" s="1"/>
  <c r="M17" i="2"/>
  <c r="L17" i="2"/>
  <c r="F17" i="2"/>
  <c r="E17" i="2"/>
  <c r="AA16" i="2"/>
  <c r="Z16" i="2"/>
  <c r="T16" i="2"/>
  <c r="S16" i="2"/>
  <c r="M16" i="2"/>
  <c r="L16" i="2"/>
  <c r="F16" i="2"/>
  <c r="E16" i="2"/>
  <c r="AA15" i="2"/>
  <c r="Z15" i="2"/>
  <c r="T15" i="2"/>
  <c r="S15" i="2"/>
  <c r="M15" i="2"/>
  <c r="L15" i="2"/>
  <c r="F15" i="2"/>
  <c r="E15" i="2"/>
  <c r="AA14" i="2"/>
  <c r="Z14" i="2"/>
  <c r="T14" i="2"/>
  <c r="S14" i="2"/>
  <c r="M14" i="2"/>
  <c r="L14" i="2"/>
  <c r="F14" i="2"/>
  <c r="E14" i="2"/>
  <c r="AA13" i="2"/>
  <c r="Z13" i="2"/>
  <c r="T13" i="2"/>
  <c r="S13" i="2"/>
  <c r="M13" i="2"/>
  <c r="L13" i="2"/>
  <c r="F13" i="2"/>
  <c r="E13" i="2"/>
  <c r="AA12" i="2"/>
  <c r="Z12" i="2"/>
  <c r="T12" i="2"/>
  <c r="S12" i="2"/>
  <c r="M12" i="2"/>
  <c r="L12" i="2"/>
  <c r="F12" i="2"/>
  <c r="E12" i="2"/>
  <c r="AA11" i="2"/>
  <c r="Z11" i="2"/>
  <c r="T11" i="2"/>
  <c r="S11" i="2"/>
  <c r="M11" i="2"/>
  <c r="L11" i="2"/>
  <c r="F11" i="2"/>
  <c r="E11" i="2"/>
  <c r="AA10" i="2"/>
  <c r="Z10" i="2"/>
  <c r="T10" i="2"/>
  <c r="S10" i="2"/>
  <c r="M10" i="2"/>
  <c r="L10" i="2"/>
  <c r="F10" i="2"/>
  <c r="E10" i="2"/>
  <c r="AA9" i="2"/>
  <c r="Z9" i="2"/>
  <c r="T9" i="2"/>
  <c r="S9" i="2"/>
  <c r="M9" i="2"/>
  <c r="L9" i="2"/>
  <c r="F9" i="2"/>
  <c r="E9" i="2"/>
  <c r="AA8" i="2"/>
  <c r="Z8" i="2"/>
  <c r="T8" i="2"/>
  <c r="S8" i="2"/>
  <c r="M8" i="2"/>
  <c r="L8" i="2"/>
  <c r="F8" i="2"/>
  <c r="E8" i="2"/>
  <c r="AA7" i="2"/>
  <c r="Z7" i="2"/>
  <c r="T7" i="2"/>
  <c r="S7" i="2"/>
  <c r="M7" i="2"/>
  <c r="L7" i="2"/>
  <c r="F7" i="2"/>
  <c r="E7" i="2"/>
  <c r="AA6" i="2"/>
  <c r="Z6" i="2"/>
  <c r="T6" i="2"/>
  <c r="S6" i="2"/>
  <c r="M6" i="2"/>
  <c r="L6" i="2"/>
  <c r="F6" i="2"/>
  <c r="E6" i="2"/>
  <c r="W2" i="2"/>
  <c r="X63" i="1"/>
  <c r="J63" i="1"/>
  <c r="C63" i="1"/>
  <c r="X62" i="1"/>
  <c r="J62" i="1"/>
  <c r="C62" i="1"/>
  <c r="X61" i="1"/>
  <c r="J61" i="1"/>
  <c r="C61" i="1"/>
  <c r="X60" i="1"/>
  <c r="P10" i="7" s="1"/>
  <c r="J60" i="1"/>
  <c r="H10" i="7" s="1"/>
  <c r="D10" i="7"/>
  <c r="X59" i="1"/>
  <c r="O10" i="7" s="1"/>
  <c r="O17" i="7" s="1"/>
  <c r="J59" i="1"/>
  <c r="G10" i="7" s="1"/>
  <c r="C59" i="1"/>
  <c r="C10" i="7" s="1"/>
  <c r="X58" i="1"/>
  <c r="N10" i="7" s="1"/>
  <c r="N17" i="7" s="1"/>
  <c r="J58" i="1"/>
  <c r="F10" i="7" s="1"/>
  <c r="C58" i="1"/>
  <c r="B10" i="7" s="1"/>
  <c r="AA55" i="1"/>
  <c r="Z55" i="1"/>
  <c r="M55" i="1"/>
  <c r="L55" i="1"/>
  <c r="F55" i="1"/>
  <c r="E55" i="1"/>
  <c r="AA54" i="1"/>
  <c r="Z54" i="1"/>
  <c r="M54" i="1"/>
  <c r="L54" i="1"/>
  <c r="F54" i="1"/>
  <c r="E54" i="1"/>
  <c r="AA53" i="1"/>
  <c r="Z53" i="1"/>
  <c r="M53" i="1"/>
  <c r="L53" i="1"/>
  <c r="F53" i="1"/>
  <c r="E53" i="1"/>
  <c r="AA52" i="1"/>
  <c r="Z52" i="1"/>
  <c r="M52" i="1"/>
  <c r="L52" i="1"/>
  <c r="F52" i="1"/>
  <c r="E52" i="1"/>
  <c r="AA51" i="1"/>
  <c r="Z51" i="1"/>
  <c r="M51" i="1"/>
  <c r="L51" i="1"/>
  <c r="F51" i="1"/>
  <c r="E51" i="1"/>
  <c r="AA50" i="1"/>
  <c r="Z50" i="1"/>
  <c r="M50" i="1"/>
  <c r="L50" i="1"/>
  <c r="F50" i="1"/>
  <c r="E50" i="1"/>
  <c r="AA49" i="1"/>
  <c r="Z49" i="1"/>
  <c r="M49" i="1"/>
  <c r="L49" i="1"/>
  <c r="F49" i="1"/>
  <c r="E49" i="1"/>
  <c r="AA48" i="1"/>
  <c r="Z48" i="1"/>
  <c r="M48" i="1"/>
  <c r="L48" i="1"/>
  <c r="F48" i="1"/>
  <c r="E48" i="1"/>
  <c r="AA47" i="1"/>
  <c r="Z47" i="1"/>
  <c r="M47" i="1"/>
  <c r="L47" i="1"/>
  <c r="F47" i="1"/>
  <c r="E47" i="1"/>
  <c r="AA46" i="1"/>
  <c r="Z46" i="1"/>
  <c r="M46" i="1"/>
  <c r="L46" i="1"/>
  <c r="F46" i="1"/>
  <c r="E46" i="1"/>
  <c r="AA45" i="1"/>
  <c r="Z45" i="1"/>
  <c r="M45" i="1"/>
  <c r="L45" i="1"/>
  <c r="F45" i="1"/>
  <c r="E45" i="1"/>
  <c r="AA44" i="1"/>
  <c r="Z44" i="1"/>
  <c r="M44" i="1"/>
  <c r="L44" i="1"/>
  <c r="F44" i="1"/>
  <c r="E44" i="1"/>
  <c r="AA43" i="1"/>
  <c r="Z43" i="1"/>
  <c r="M43" i="1"/>
  <c r="L43" i="1"/>
  <c r="F43" i="1"/>
  <c r="E43" i="1"/>
  <c r="AA42" i="1"/>
  <c r="Z42" i="1"/>
  <c r="M42" i="1"/>
  <c r="L42" i="1"/>
  <c r="F42" i="1"/>
  <c r="E42" i="1"/>
  <c r="AA41" i="1"/>
  <c r="Z41" i="1"/>
  <c r="M41" i="1"/>
  <c r="L41" i="1"/>
  <c r="F41" i="1"/>
  <c r="E41" i="1"/>
  <c r="AA40" i="1"/>
  <c r="Z40" i="1"/>
  <c r="M40" i="1"/>
  <c r="L40" i="1"/>
  <c r="F40" i="1"/>
  <c r="E40" i="1"/>
  <c r="AA39" i="1"/>
  <c r="Z39" i="1"/>
  <c r="M39" i="1"/>
  <c r="L39" i="1"/>
  <c r="F39" i="1"/>
  <c r="E39" i="1"/>
  <c r="AA38" i="1"/>
  <c r="Z38" i="1"/>
  <c r="M38" i="1"/>
  <c r="L38" i="1"/>
  <c r="F38" i="1"/>
  <c r="E38" i="1"/>
  <c r="AA37" i="1"/>
  <c r="Z37" i="1"/>
  <c r="M37" i="1"/>
  <c r="L37" i="1"/>
  <c r="F37" i="1"/>
  <c r="E37" i="1"/>
  <c r="AA36" i="1"/>
  <c r="Z36" i="1"/>
  <c r="M36" i="1"/>
  <c r="L36" i="1"/>
  <c r="F36" i="1"/>
  <c r="E36" i="1"/>
  <c r="AA35" i="1"/>
  <c r="Z35" i="1"/>
  <c r="M35" i="1"/>
  <c r="L35" i="1"/>
  <c r="F35" i="1"/>
  <c r="E35" i="1"/>
  <c r="AA34" i="1"/>
  <c r="Z34" i="1"/>
  <c r="M34" i="1"/>
  <c r="L34" i="1"/>
  <c r="F34" i="1"/>
  <c r="E34" i="1"/>
  <c r="AA33" i="1"/>
  <c r="Z33" i="1"/>
  <c r="M33" i="1"/>
  <c r="L33" i="1"/>
  <c r="F33" i="1"/>
  <c r="E33" i="1"/>
  <c r="AA32" i="1"/>
  <c r="Z32" i="1"/>
  <c r="M32" i="1"/>
  <c r="L32" i="1"/>
  <c r="F32" i="1"/>
  <c r="E32" i="1"/>
  <c r="AA31" i="1"/>
  <c r="Z31" i="1"/>
  <c r="M31" i="1"/>
  <c r="L31" i="1"/>
  <c r="F31" i="1"/>
  <c r="E31" i="1"/>
  <c r="AA30" i="1"/>
  <c r="Z30" i="1"/>
  <c r="M30" i="1"/>
  <c r="L30" i="1"/>
  <c r="F30" i="1"/>
  <c r="E30" i="1"/>
  <c r="AA29" i="1"/>
  <c r="Z29" i="1"/>
  <c r="M29" i="1"/>
  <c r="L29" i="1"/>
  <c r="F29" i="1"/>
  <c r="E29" i="1"/>
  <c r="AA28" i="1"/>
  <c r="Z28" i="1"/>
  <c r="M28" i="1"/>
  <c r="L28" i="1"/>
  <c r="F28" i="1"/>
  <c r="E28" i="1"/>
  <c r="AA27" i="1"/>
  <c r="Z27" i="1"/>
  <c r="M27" i="1"/>
  <c r="L27" i="1"/>
  <c r="F27" i="1"/>
  <c r="E27" i="1"/>
  <c r="AA26" i="1"/>
  <c r="Z26" i="1"/>
  <c r="M26" i="1"/>
  <c r="L26" i="1"/>
  <c r="F26" i="1"/>
  <c r="E26" i="1"/>
  <c r="AA25" i="1"/>
  <c r="Z25" i="1"/>
  <c r="M25" i="1"/>
  <c r="L25" i="1"/>
  <c r="F25" i="1"/>
  <c r="E25" i="1"/>
  <c r="AA24" i="1"/>
  <c r="Z24" i="1"/>
  <c r="Q24" i="1"/>
  <c r="M24" i="1"/>
  <c r="L24" i="1"/>
  <c r="F24" i="1"/>
  <c r="E24" i="1"/>
  <c r="AA23" i="1"/>
  <c r="Z23" i="1"/>
  <c r="Q23" i="1"/>
  <c r="M23" i="1"/>
  <c r="L23" i="1"/>
  <c r="F23" i="1"/>
  <c r="E23" i="1"/>
  <c r="AA22" i="1"/>
  <c r="Z22" i="1"/>
  <c r="Q22" i="1"/>
  <c r="M22" i="1"/>
  <c r="L22" i="1"/>
  <c r="F22" i="1"/>
  <c r="E22" i="1"/>
  <c r="AA21" i="1"/>
  <c r="Z21" i="1"/>
  <c r="Q21" i="1"/>
  <c r="L10" i="7" s="1"/>
  <c r="M21" i="1"/>
  <c r="L21" i="1"/>
  <c r="F21" i="1"/>
  <c r="E21" i="1"/>
  <c r="AA20" i="1"/>
  <c r="Z20" i="1"/>
  <c r="Q20" i="1"/>
  <c r="K10" i="7" s="1"/>
  <c r="M20" i="1"/>
  <c r="L20" i="1"/>
  <c r="F20" i="1"/>
  <c r="E20" i="1"/>
  <c r="AA19" i="1"/>
  <c r="Z19" i="1"/>
  <c r="Q19" i="1"/>
  <c r="J10" i="7" s="1"/>
  <c r="M19" i="1"/>
  <c r="L19" i="1"/>
  <c r="F19" i="1"/>
  <c r="E19" i="1"/>
  <c r="AA18" i="1"/>
  <c r="Z18" i="1"/>
  <c r="M18" i="1"/>
  <c r="L18" i="1"/>
  <c r="F18" i="1"/>
  <c r="E18" i="1"/>
  <c r="AA17" i="1"/>
  <c r="Z17" i="1"/>
  <c r="M17" i="1"/>
  <c r="L17" i="1"/>
  <c r="F17" i="1"/>
  <c r="E17" i="1"/>
  <c r="AA16" i="1"/>
  <c r="Z16" i="1"/>
  <c r="T16" i="1"/>
  <c r="S16" i="1"/>
  <c r="M16" i="1"/>
  <c r="L16" i="1"/>
  <c r="F16" i="1"/>
  <c r="E16" i="1"/>
  <c r="AA15" i="1"/>
  <c r="Z15" i="1"/>
  <c r="T15" i="1"/>
  <c r="S15" i="1"/>
  <c r="M15" i="1"/>
  <c r="L15" i="1"/>
  <c r="F15" i="1"/>
  <c r="E15" i="1"/>
  <c r="AA14" i="1"/>
  <c r="Z14" i="1"/>
  <c r="T14" i="1"/>
  <c r="S14" i="1"/>
  <c r="M14" i="1"/>
  <c r="L14" i="1"/>
  <c r="F14" i="1"/>
  <c r="E14" i="1"/>
  <c r="AA13" i="1"/>
  <c r="Z13" i="1"/>
  <c r="T13" i="1"/>
  <c r="S13" i="1"/>
  <c r="M13" i="1"/>
  <c r="L13" i="1"/>
  <c r="F13" i="1"/>
  <c r="E13" i="1"/>
  <c r="AA12" i="1"/>
  <c r="Z12" i="1"/>
  <c r="T12" i="1"/>
  <c r="S12" i="1"/>
  <c r="M12" i="1"/>
  <c r="L12" i="1"/>
  <c r="F12" i="1"/>
  <c r="E12" i="1"/>
  <c r="AA11" i="1"/>
  <c r="Z11" i="1"/>
  <c r="T11" i="1"/>
  <c r="S11" i="1"/>
  <c r="M11" i="1"/>
  <c r="L11" i="1"/>
  <c r="F11" i="1"/>
  <c r="E11" i="1"/>
  <c r="AA10" i="1"/>
  <c r="Z10" i="1"/>
  <c r="T10" i="1"/>
  <c r="S10" i="1"/>
  <c r="M10" i="1"/>
  <c r="L10" i="1"/>
  <c r="F10" i="1"/>
  <c r="E10" i="1"/>
  <c r="AA9" i="1"/>
  <c r="Z9" i="1"/>
  <c r="T9" i="1"/>
  <c r="S9" i="1"/>
  <c r="M9" i="1"/>
  <c r="L9" i="1"/>
  <c r="F9" i="1"/>
  <c r="E9" i="1"/>
  <c r="AA8" i="1"/>
  <c r="Z8" i="1"/>
  <c r="T8" i="1"/>
  <c r="S8" i="1"/>
  <c r="M8" i="1"/>
  <c r="L8" i="1"/>
  <c r="F8" i="1"/>
  <c r="E8" i="1"/>
  <c r="AA7" i="1"/>
  <c r="Z7" i="1"/>
  <c r="T7" i="1"/>
  <c r="S7" i="1"/>
  <c r="M7" i="1"/>
  <c r="L7" i="1"/>
  <c r="F7" i="1"/>
  <c r="E7" i="1"/>
  <c r="AA6" i="1"/>
  <c r="Z6" i="1"/>
  <c r="X64" i="1" s="1"/>
  <c r="Q10" i="7" s="1"/>
  <c r="Q17" i="7" s="1"/>
  <c r="T6" i="1"/>
  <c r="S6" i="1"/>
  <c r="M6" i="1"/>
  <c r="L6" i="1"/>
  <c r="F6" i="1"/>
  <c r="E6" i="1"/>
  <c r="W2" i="1"/>
  <c r="Q25" i="4" l="1"/>
  <c r="M13" i="7" s="1"/>
  <c r="J64" i="4"/>
  <c r="I13" i="7" s="1"/>
  <c r="C64" i="4"/>
  <c r="E13" i="7" s="1"/>
  <c r="Q25" i="3"/>
  <c r="M12" i="7" s="1"/>
  <c r="J64" i="3"/>
  <c r="I12" i="7" s="1"/>
  <c r="C64" i="3"/>
  <c r="E12" i="7" s="1"/>
  <c r="J17" i="7"/>
  <c r="K17" i="7"/>
  <c r="Q25" i="2"/>
  <c r="M11" i="7" s="1"/>
  <c r="J64" i="2"/>
  <c r="I11" i="7" s="1"/>
  <c r="G17" i="7"/>
  <c r="F17" i="7"/>
  <c r="C17" i="7"/>
  <c r="B17" i="7"/>
  <c r="C64" i="2"/>
  <c r="E11" i="7" s="1"/>
  <c r="Q25" i="1"/>
  <c r="M10" i="7" s="1"/>
  <c r="J64" i="1"/>
  <c r="I10" i="7" s="1"/>
  <c r="P17" i="7"/>
  <c r="H17" i="7"/>
  <c r="C64" i="1"/>
  <c r="E10" i="7" s="1"/>
  <c r="L17" i="7"/>
  <c r="D17" i="7"/>
  <c r="M17" i="7" l="1"/>
  <c r="I17" i="7"/>
  <c r="E17" i="7"/>
</calcChain>
</file>

<file path=xl/sharedStrings.xml><?xml version="1.0" encoding="utf-8"?>
<sst xmlns="http://schemas.openxmlformats.org/spreadsheetml/2006/main" count="1132" uniqueCount="191">
  <si>
    <t>DISSOLVED OXYGEN LOG  -  DAY 1</t>
  </si>
  <si>
    <t>Date:</t>
  </si>
  <si>
    <t>Weather:</t>
  </si>
  <si>
    <t>Recorded by:</t>
  </si>
  <si>
    <t>Location:</t>
  </si>
  <si>
    <t>Reference:</t>
  </si>
  <si>
    <t>A.  EVERY 20 SECONDS</t>
  </si>
  <si>
    <t>B.  EVERY 5 MINUTES</t>
  </si>
  <si>
    <t>C.  HOURLY 7AM-5PM</t>
  </si>
  <si>
    <t>D.  CUSTOM</t>
  </si>
  <si>
    <t>#</t>
  </si>
  <si>
    <t>Elapsed</t>
  </si>
  <si>
    <t>DO mg/L</t>
  </si>
  <si>
    <t>% Sat</t>
  </si>
  <si>
    <t>Status</t>
  </si>
  <si>
    <t>Time</t>
  </si>
  <si>
    <t>0:00</t>
  </si>
  <si>
    <t>7:00 AM</t>
  </si>
  <si>
    <t>0:20</t>
  </si>
  <si>
    <t>0:05</t>
  </si>
  <si>
    <t>8:00 AM</t>
  </si>
  <si>
    <t>0:40</t>
  </si>
  <si>
    <t>0:10</t>
  </si>
  <si>
    <t>9:00 AM</t>
  </si>
  <si>
    <t>1:00</t>
  </si>
  <si>
    <t>0:15</t>
  </si>
  <si>
    <t>10:00 AM</t>
  </si>
  <si>
    <t>1:20</t>
  </si>
  <si>
    <t>11:00 AM</t>
  </si>
  <si>
    <t>1:40</t>
  </si>
  <si>
    <t>0:25</t>
  </si>
  <si>
    <t>12:00 NN</t>
  </si>
  <si>
    <t>2:00</t>
  </si>
  <si>
    <t>0:30</t>
  </si>
  <si>
    <t>1:00 PM</t>
  </si>
  <si>
    <t>2:20</t>
  </si>
  <si>
    <t>0:35</t>
  </si>
  <si>
    <t>2:00 PM</t>
  </si>
  <si>
    <t>2:40</t>
  </si>
  <si>
    <t>3:00 PM</t>
  </si>
  <si>
    <t>3:00</t>
  </si>
  <si>
    <t>0:45</t>
  </si>
  <si>
    <t>4:00 PM</t>
  </si>
  <si>
    <t>3:20</t>
  </si>
  <si>
    <t>0:50</t>
  </si>
  <si>
    <t>5:00 PM</t>
  </si>
  <si>
    <t>3:40</t>
  </si>
  <si>
    <t>0:55</t>
  </si>
  <si>
    <t>4:00</t>
  </si>
  <si>
    <t>STATISTICS</t>
  </si>
  <si>
    <t>4:20</t>
  </si>
  <si>
    <t>1:05</t>
  </si>
  <si>
    <t>Readings</t>
  </si>
  <si>
    <t>4:40</t>
  </si>
  <si>
    <t>1:10</t>
  </si>
  <si>
    <t>Mean</t>
  </si>
  <si>
    <t>5:00</t>
  </si>
  <si>
    <t>1:15</t>
  </si>
  <si>
    <t>Std dev</t>
  </si>
  <si>
    <t>5:20</t>
  </si>
  <si>
    <t>Minimum</t>
  </si>
  <si>
    <t>5:40</t>
  </si>
  <si>
    <t>1:25</t>
  </si>
  <si>
    <t>Maximum</t>
  </si>
  <si>
    <t>6:00</t>
  </si>
  <si>
    <t>1:30</t>
  </si>
  <si>
    <t>Range</t>
  </si>
  <si>
    <t>6:20</t>
  </si>
  <si>
    <t>1:35</t>
  </si>
  <si>
    <t>Mean % sat</t>
  </si>
  <si>
    <t>6:40</t>
  </si>
  <si>
    <t>7:00</t>
  </si>
  <si>
    <t>1:45</t>
  </si>
  <si>
    <t>7:20</t>
  </si>
  <si>
    <t>1:50</t>
  </si>
  <si>
    <t>7:40</t>
  </si>
  <si>
    <t>1:55</t>
  </si>
  <si>
    <t>8:00</t>
  </si>
  <si>
    <t>8:20</t>
  </si>
  <si>
    <t>2:05</t>
  </si>
  <si>
    <t>8:40</t>
  </si>
  <si>
    <t>2:10</t>
  </si>
  <si>
    <t>9:00</t>
  </si>
  <si>
    <t>2:15</t>
  </si>
  <si>
    <t>9:20</t>
  </si>
  <si>
    <t>9:40</t>
  </si>
  <si>
    <t>2:25</t>
  </si>
  <si>
    <t>10:00</t>
  </si>
  <si>
    <t>2:30</t>
  </si>
  <si>
    <t>10:20</t>
  </si>
  <si>
    <t>2:35</t>
  </si>
  <si>
    <t>10:40</t>
  </si>
  <si>
    <t>11:00</t>
  </si>
  <si>
    <t>2:45</t>
  </si>
  <si>
    <t>11:20</t>
  </si>
  <si>
    <t>2:50</t>
  </si>
  <si>
    <t>11:40</t>
  </si>
  <si>
    <t>2:55</t>
  </si>
  <si>
    <t>12:00</t>
  </si>
  <si>
    <t>12:20</t>
  </si>
  <si>
    <t>3:05</t>
  </si>
  <si>
    <t>12:40</t>
  </si>
  <si>
    <t>3:10</t>
  </si>
  <si>
    <t>13:00</t>
  </si>
  <si>
    <t>3:15</t>
  </si>
  <si>
    <t>13:20</t>
  </si>
  <si>
    <t>13:40</t>
  </si>
  <si>
    <t>3:25</t>
  </si>
  <si>
    <t>14:00</t>
  </si>
  <si>
    <t>3:30</t>
  </si>
  <si>
    <t>14:20</t>
  </si>
  <si>
    <t>3:35</t>
  </si>
  <si>
    <t>14:40</t>
  </si>
  <si>
    <t>15:00</t>
  </si>
  <si>
    <t>3:45</t>
  </si>
  <si>
    <t>15:20</t>
  </si>
  <si>
    <t>3:50</t>
  </si>
  <si>
    <t>15:40</t>
  </si>
  <si>
    <t>3:55</t>
  </si>
  <si>
    <t>16:00</t>
  </si>
  <si>
    <t>16:20</t>
  </si>
  <si>
    <t>4:05</t>
  </si>
  <si>
    <t>STATUS BANDS</t>
  </si>
  <si>
    <t>LETHAL  under 2.0 mg/L      CRITICAL  2.0 - 4.0      LOW  4.0 - 5.0      HEALTHY  5.0 - 8.0      SUPERSAT  above 8.0</t>
  </si>
  <si>
    <t>% Sat is DO divided by the reference on the Summary tab. Change that one cell and every day updates.</t>
  </si>
  <si>
    <t>Table D is yours - type any times or intervals you need. Blank rows are ignored by all statistics.</t>
  </si>
  <si>
    <t>DISSOLVED OXYGEN LOG  -  DAY 2</t>
  </si>
  <si>
    <t>DISSOLVED OXYGEN LOG  -  DAY 3</t>
  </si>
  <si>
    <t>DISSOLVED OXYGEN LOG  -  DAY 4</t>
  </si>
  <si>
    <t>DISSOLVED OXYGEN LOG  -  DAY 5</t>
  </si>
  <si>
    <t>DISSOLVED OXYGEN LOG  -  DAY 6</t>
  </si>
  <si>
    <t>DO LOG  -  SUMMARY ACROSS ALL SIX DAYS</t>
  </si>
  <si>
    <t>REFERENCE DO  -  100% saturation (mg/L)</t>
  </si>
  <si>
    <t>Every % Sat on every Day tab divides by this one cell. Change it here and the whole workbook updates.</t>
  </si>
  <si>
    <t>13.5 mg/L corresponds to water at about 3 C. At 26-32 C the physical value is 7.3 - 8.1 mg/L (see the Sat Table tab).</t>
  </si>
  <si>
    <t>Keeping one reference across all six days means day-to-day comparisons stay valid even if the absolute scale is offset.</t>
  </si>
  <si>
    <t>A. EVERY 20 SEC</t>
  </si>
  <si>
    <t>B. EVERY 5 MIN</t>
  </si>
  <si>
    <t>C. HOURLY 7-5</t>
  </si>
  <si>
    <t>D. CUSTOM</t>
  </si>
  <si>
    <t>Day</t>
  </si>
  <si>
    <t>n</t>
  </si>
  <si>
    <t>SD</t>
  </si>
  <si>
    <t>%Sat</t>
  </si>
  <si>
    <t>Day 1</t>
  </si>
  <si>
    <t>Day 2</t>
  </si>
  <si>
    <t>Day 3</t>
  </si>
  <si>
    <t>Day 4</t>
  </si>
  <si>
    <t>Day 5</t>
  </si>
  <si>
    <t>Day 6</t>
  </si>
  <si>
    <t>ALL DAYS</t>
  </si>
  <si>
    <t>FISH HEALTH BANDS  (raw mg/L)</t>
  </si>
  <si>
    <t>LETHAL</t>
  </si>
  <si>
    <t>under 2.0</t>
  </si>
  <si>
    <t>Fish kill risk</t>
  </si>
  <si>
    <t>CRITICAL</t>
  </si>
  <si>
    <t>2.0 - 4.0</t>
  </si>
  <si>
    <t>Severe stress, stop feeding</t>
  </si>
  <si>
    <t>LOW</t>
  </si>
  <si>
    <t>4.0 - 5.0</t>
  </si>
  <si>
    <t>Monitor closely</t>
  </si>
  <si>
    <t>HEALTHY</t>
  </si>
  <si>
    <t>5.0 - 8.0</t>
  </si>
  <si>
    <t>Normal operating range</t>
  </si>
  <si>
    <t>SUPERSAT</t>
  </si>
  <si>
    <t>above 8.0</t>
  </si>
  <si>
    <t>Usually algal photosynthesis at midday</t>
  </si>
  <si>
    <t>WHAT EACH INTERVAL MEASURES</t>
  </si>
  <si>
    <t>A every 20 sec : sensor PRECISION - the pond cannot change in 20 seconds, so this is pure noise. Expect the smallest SD.</t>
  </si>
  <si>
    <t>B every 5 min  : short-term STABILITY and drift.</t>
  </si>
  <si>
    <t>C hourly 7-5   : real POND VARIATION through the day. Expect the largest SD.</t>
  </si>
  <si>
    <t>D custom       : whatever you define. Note the interval in your write-up.</t>
  </si>
  <si>
    <t>If the 20-second SD is large, that is the sensor misbehaving - not the pond changing.</t>
  </si>
  <si>
    <t>Record the weather on each Day tab. Heavy rain depresses DO through runoff and reduced photosynthesis - a finding worth reporting.</t>
  </si>
  <si>
    <t>DO SATURATION TABLE</t>
  </si>
  <si>
    <t>Freshwater, sea level (760 mmHg). Do not edit - other sheets look values up here.</t>
  </si>
  <si>
    <t>Temp (C)</t>
  </si>
  <si>
    <t>DO at 100% sat (mg/L)</t>
  </si>
  <si>
    <t>Source: standard oxygen solubility tables, 0.1 C resolution.</t>
  </si>
  <si>
    <t>Sunny</t>
  </si>
  <si>
    <t>Gemina</t>
  </si>
  <si>
    <t>Fishpond</t>
  </si>
  <si>
    <t>10.13.2026</t>
  </si>
  <si>
    <t>10.12.26</t>
  </si>
  <si>
    <t>Haze/Cloudy</t>
  </si>
  <si>
    <t>Rained Last Night</t>
  </si>
  <si>
    <t>11.14.16</t>
  </si>
  <si>
    <t>Rained Last night/New Water added</t>
  </si>
  <si>
    <t>11/15/26</t>
  </si>
  <si>
    <t>Sunny/Cloudy</t>
  </si>
  <si>
    <t>Rained  last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</si>
</sst>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4"/>
      <color rgb="FF1E5140"/>
      <name val="Calibri"/>
    </font>
    <font>
      <b/>
      <sz val="10"/>
      <color rgb="FFFFFFFF"/>
      <name val="Calibri"/>
    </font>
    <font>
      <b/>
      <sz val="11"/>
      <color rgb="FFA75F33"/>
      <name val="Calibri"/>
    </font>
    <font>
      <i/>
      <sz val="9"/>
      <color rgb="FF777777"/>
      <name val="Calibri"/>
    </font>
    <font>
      <b/>
      <sz val="11"/>
      <color rgb="FF1E5140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1E5140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5140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0EBE6"/>
        <bgColor indexed="64"/>
      </patternFill>
    </fill>
    <fill>
      <patternFill patternType="solid">
        <fgColor rgb="FFF2F0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3" fillId="0" borderId="0" xfId="0" applyFont="1"/>
    <xf numFmtId="0" fontId="0" fillId="4" borderId="1" xfId="0" applyFill="1" applyBorder="1"/>
    <xf numFmtId="0" fontId="4" fillId="0" borderId="0" xfId="0" applyFont="1"/>
    <xf numFmtId="0" fontId="0" fillId="5" borderId="1" xfId="0" applyFill="1" applyBorder="1"/>
    <xf numFmtId="0" fontId="5" fillId="4" borderId="1" xfId="0" applyFont="1" applyFill="1" applyBorder="1"/>
    <xf numFmtId="14" fontId="6" fillId="3" borderId="1" xfId="0" applyNumberFormat="1" applyFont="1" applyFill="1" applyBorder="1"/>
    <xf numFmtId="0" fontId="6" fillId="3" borderId="1" xfId="0" applyFont="1" applyFill="1" applyBorder="1"/>
    <xf numFmtId="0" fontId="6" fillId="0" borderId="0" xfId="0" applyFont="1"/>
    <xf numFmtId="0" fontId="7" fillId="3" borderId="1" xfId="0" applyFont="1" applyFill="1" applyBorder="1"/>
    <xf numFmtId="0" fontId="8" fillId="4" borderId="1" xfId="0" applyFont="1" applyFill="1" applyBorder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"/>
  <sheetViews>
    <sheetView topLeftCell="A37"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12.7109375" customWidth="1"/>
    <col min="9" max="9" width="10" customWidth="1"/>
    <col min="10" max="10" width="9" customWidth="1"/>
    <col min="11" max="12" width="8" customWidth="1"/>
    <col min="13" max="13" width="11" customWidth="1"/>
    <col min="14" max="14" width="2" customWidth="1"/>
    <col min="15" max="15" width="9.57031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0</v>
      </c>
    </row>
    <row r="2" spans="1:27" x14ac:dyDescent="0.25">
      <c r="A2" t="s">
        <v>1</v>
      </c>
      <c r="B2" s="10" t="s">
        <v>183</v>
      </c>
      <c r="C2" t="s">
        <v>2</v>
      </c>
      <c r="D2" s="10" t="s">
        <v>179</v>
      </c>
      <c r="H2" t="s">
        <v>3</v>
      </c>
      <c r="I2" s="10" t="s">
        <v>180</v>
      </c>
      <c r="O2" t="s">
        <v>4</v>
      </c>
      <c r="P2" s="10" t="s">
        <v>181</v>
      </c>
      <c r="V2" t="s">
        <v>5</v>
      </c>
      <c r="W2" s="5">
        <f>Summary!$B$3</f>
        <v>13.5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2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>
        <v>13.5</v>
      </c>
      <c r="D6" s="3"/>
      <c r="E6" s="5">
        <f>IF($C6="","",ROUND($C6/Summary!$B$3*100,1))</f>
        <v>100</v>
      </c>
      <c r="F6" s="5" t="str">
        <f t="shared" ref="F6:F37" si="0">IF($C6="","",IF($C6&lt;2,"LETHAL",IF($C6&lt;4,"CRITICAL",IF($C6&lt;5,"LOW",IF($C6&lt;=8,"HEALTHY","SUPERSAT")))))</f>
        <v>SUPERSAT</v>
      </c>
      <c r="H6">
        <v>1</v>
      </c>
      <c r="I6" s="7" t="s">
        <v>16</v>
      </c>
      <c r="J6" s="3">
        <v>13.5</v>
      </c>
      <c r="K6" s="3"/>
      <c r="L6" s="5">
        <f>IF($J6="","",ROUND($J6/Summary!$B$3*100,1))</f>
        <v>100</v>
      </c>
      <c r="M6" s="5" t="str">
        <f t="shared" ref="M6:M37" si="1">IF($J6="","",IF($J6&lt;2,"LETHAL",IF($J6&lt;4,"CRITICAL",IF($J6&lt;5,"LOW",IF($J6&lt;=8,"HEALTHY","SUPERSAT")))))</f>
        <v>SUPERSAT</v>
      </c>
      <c r="O6">
        <v>1</v>
      </c>
      <c r="P6" s="7" t="s">
        <v>17</v>
      </c>
      <c r="Q6" s="3">
        <v>12.3</v>
      </c>
      <c r="R6" s="3"/>
      <c r="S6" s="5">
        <f>IF($Q6="","",ROUND($Q6/Summary!$B$3*100,1))</f>
        <v>91.1</v>
      </c>
      <c r="T6" s="5" t="str">
        <f t="shared" ref="T6:T16" si="2">IF($Q6="","",IF($Q6&lt;2,"LETHAL",IF($Q6&lt;4,"CRITICAL",IF($Q6&lt;5,"LOW",IF($Q6&lt;=8,"HEALTHY","SUPERSAT")))))</f>
        <v>SUPERSAT</v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>
        <v>11.3</v>
      </c>
      <c r="D7" s="3"/>
      <c r="E7" s="5">
        <f>IF($C7="","",ROUND($C7/Summary!$B$3*100,1))</f>
        <v>83.7</v>
      </c>
      <c r="F7" s="5" t="str">
        <f t="shared" si="0"/>
        <v>SUPERSAT</v>
      </c>
      <c r="H7">
        <v>2</v>
      </c>
      <c r="I7" s="7" t="s">
        <v>19</v>
      </c>
      <c r="J7" s="3">
        <v>11.7</v>
      </c>
      <c r="K7" s="3"/>
      <c r="L7" s="5">
        <f>IF($J7="","",ROUND($J7/Summary!$B$3*100,1))</f>
        <v>86.7</v>
      </c>
      <c r="M7" s="5" t="str">
        <f t="shared" si="1"/>
        <v>SUPERSAT</v>
      </c>
      <c r="O7">
        <v>2</v>
      </c>
      <c r="P7" s="7" t="s">
        <v>20</v>
      </c>
      <c r="Q7" s="3">
        <v>12.6</v>
      </c>
      <c r="R7" s="3"/>
      <c r="S7" s="5">
        <f>IF($Q7="","",ROUND($Q7/Summary!$B$3*100,1))</f>
        <v>93.3</v>
      </c>
      <c r="T7" s="5" t="str">
        <f t="shared" si="2"/>
        <v>SUPERSAT</v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>
        <v>11.5</v>
      </c>
      <c r="D8" s="3"/>
      <c r="E8" s="5">
        <f>IF($C8="","",ROUND($C8/Summary!$B$3*100,1))</f>
        <v>85.2</v>
      </c>
      <c r="F8" s="5" t="str">
        <f t="shared" si="0"/>
        <v>SUPERSAT</v>
      </c>
      <c r="H8">
        <v>3</v>
      </c>
      <c r="I8" s="7" t="s">
        <v>22</v>
      </c>
      <c r="J8" s="3">
        <v>12.6</v>
      </c>
      <c r="K8" s="3"/>
      <c r="L8" s="5">
        <f>IF($J8="","",ROUND($J8/Summary!$B$3*100,1))</f>
        <v>93.3</v>
      </c>
      <c r="M8" s="5" t="str">
        <f t="shared" si="1"/>
        <v>SUPERSAT</v>
      </c>
      <c r="O8">
        <v>3</v>
      </c>
      <c r="P8" s="7" t="s">
        <v>23</v>
      </c>
      <c r="Q8" s="3">
        <v>12.4</v>
      </c>
      <c r="R8" s="3"/>
      <c r="S8" s="5">
        <f>IF($Q8="","",ROUND($Q8/Summary!$B$3*100,1))</f>
        <v>91.9</v>
      </c>
      <c r="T8" s="5" t="str">
        <f t="shared" si="2"/>
        <v>SUPERSAT</v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>
        <v>11.4</v>
      </c>
      <c r="D9" s="3"/>
      <c r="E9" s="5">
        <f>IF($C9="","",ROUND($C9/Summary!$B$3*100,1))</f>
        <v>84.4</v>
      </c>
      <c r="F9" s="5" t="str">
        <f t="shared" si="0"/>
        <v>SUPERSAT</v>
      </c>
      <c r="H9">
        <v>4</v>
      </c>
      <c r="I9" s="7" t="s">
        <v>25</v>
      </c>
      <c r="J9" s="3">
        <v>12.9</v>
      </c>
      <c r="K9" s="3"/>
      <c r="L9" s="5">
        <f>IF($J9="","",ROUND($J9/Summary!$B$3*100,1))</f>
        <v>95.6</v>
      </c>
      <c r="M9" s="5" t="str">
        <f t="shared" si="1"/>
        <v>SUPERSAT</v>
      </c>
      <c r="O9">
        <v>4</v>
      </c>
      <c r="P9" s="7" t="s">
        <v>26</v>
      </c>
      <c r="Q9" s="3">
        <v>12.7</v>
      </c>
      <c r="R9" s="3"/>
      <c r="S9" s="5">
        <f>IF($Q9="","",ROUND($Q9/Summary!$B$3*100,1))</f>
        <v>94.1</v>
      </c>
      <c r="T9" s="5" t="str">
        <f t="shared" si="2"/>
        <v>SUPERSAT</v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>
        <v>11.6</v>
      </c>
      <c r="D10" s="3"/>
      <c r="E10" s="5">
        <f>IF($C10="","",ROUND($C10/Summary!$B$3*100,1))</f>
        <v>85.9</v>
      </c>
      <c r="F10" s="5" t="str">
        <f t="shared" si="0"/>
        <v>SUPERSAT</v>
      </c>
      <c r="H10">
        <v>5</v>
      </c>
      <c r="I10" s="7" t="s">
        <v>18</v>
      </c>
      <c r="J10" s="3">
        <v>12.4</v>
      </c>
      <c r="K10" s="3"/>
      <c r="L10" s="5">
        <f>IF($J10="","",ROUND($J10/Summary!$B$3*100,1))</f>
        <v>91.9</v>
      </c>
      <c r="M10" s="5" t="str">
        <f t="shared" si="1"/>
        <v>SUPERSAT</v>
      </c>
      <c r="O10">
        <v>5</v>
      </c>
      <c r="P10" s="7" t="s">
        <v>28</v>
      </c>
      <c r="Q10" s="3">
        <v>12.6</v>
      </c>
      <c r="R10" s="3"/>
      <c r="S10" s="5">
        <f>IF($Q10="","",ROUND($Q10/Summary!$B$3*100,1))</f>
        <v>93.3</v>
      </c>
      <c r="T10" s="5" t="str">
        <f t="shared" si="2"/>
        <v>SUPERSAT</v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>
        <v>11.7</v>
      </c>
      <c r="D11" s="3"/>
      <c r="E11" s="5">
        <f>IF($C11="","",ROUND($C11/Summary!$B$3*100,1))</f>
        <v>86.7</v>
      </c>
      <c r="F11" s="5" t="str">
        <f t="shared" si="0"/>
        <v>SUPERSAT</v>
      </c>
      <c r="H11">
        <v>6</v>
      </c>
      <c r="I11" s="7" t="s">
        <v>30</v>
      </c>
      <c r="J11" s="3">
        <v>12.5</v>
      </c>
      <c r="K11" s="3"/>
      <c r="L11" s="5">
        <f>IF($J11="","",ROUND($J11/Summary!$B$3*100,1))</f>
        <v>92.6</v>
      </c>
      <c r="M11" s="5" t="str">
        <f t="shared" si="1"/>
        <v>SUPERSAT</v>
      </c>
      <c r="O11">
        <v>6</v>
      </c>
      <c r="P11" s="7" t="s">
        <v>31</v>
      </c>
      <c r="Q11" s="3">
        <v>12.4</v>
      </c>
      <c r="R11" s="3"/>
      <c r="S11" s="5">
        <f>IF($Q11="","",ROUND($Q11/Summary!$B$3*100,1))</f>
        <v>91.9</v>
      </c>
      <c r="T11" s="5" t="str">
        <f t="shared" si="2"/>
        <v>SUPERSAT</v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>
        <v>11.7</v>
      </c>
      <c r="D12" s="3"/>
      <c r="E12" s="5">
        <f>IF($C12="","",ROUND($C12/Summary!$B$3*100,1))</f>
        <v>86.7</v>
      </c>
      <c r="F12" s="5" t="str">
        <f t="shared" si="0"/>
        <v>SUPERSAT</v>
      </c>
      <c r="H12">
        <v>7</v>
      </c>
      <c r="I12" s="7" t="s">
        <v>33</v>
      </c>
      <c r="J12" s="3">
        <v>12.6</v>
      </c>
      <c r="K12" s="3"/>
      <c r="L12" s="5">
        <f>IF($J12="","",ROUND($J12/Summary!$B$3*100,1))</f>
        <v>93.3</v>
      </c>
      <c r="M12" s="5" t="str">
        <f t="shared" si="1"/>
        <v>SUPERSAT</v>
      </c>
      <c r="O12">
        <v>7</v>
      </c>
      <c r="P12" s="7" t="s">
        <v>34</v>
      </c>
      <c r="Q12" s="3">
        <v>12.7</v>
      </c>
      <c r="R12" s="3"/>
      <c r="S12" s="5">
        <f>IF($Q12="","",ROUND($Q12/Summary!$B$3*100,1))</f>
        <v>94.1</v>
      </c>
      <c r="T12" s="5" t="str">
        <f t="shared" si="2"/>
        <v>SUPERSAT</v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>
        <v>11.7</v>
      </c>
      <c r="D13" s="3"/>
      <c r="E13" s="5">
        <f>IF($C13="","",ROUND($C13/Summary!$B$3*100,1))</f>
        <v>86.7</v>
      </c>
      <c r="F13" s="5" t="str">
        <f t="shared" si="0"/>
        <v>SUPERSAT</v>
      </c>
      <c r="H13">
        <v>8</v>
      </c>
      <c r="I13" s="7" t="s">
        <v>36</v>
      </c>
      <c r="J13" s="3">
        <v>12.6</v>
      </c>
      <c r="K13" s="3"/>
      <c r="L13" s="5">
        <f>IF($J13="","",ROUND($J13/Summary!$B$3*100,1))</f>
        <v>93.3</v>
      </c>
      <c r="M13" s="5" t="str">
        <f t="shared" si="1"/>
        <v>SUPERSAT</v>
      </c>
      <c r="O13">
        <v>8</v>
      </c>
      <c r="P13" s="7" t="s">
        <v>37</v>
      </c>
      <c r="Q13" s="3">
        <v>12.6</v>
      </c>
      <c r="R13" s="3"/>
      <c r="S13" s="5">
        <f>IF($Q13="","",ROUND($Q13/Summary!$B$3*100,1))</f>
        <v>93.3</v>
      </c>
      <c r="T13" s="5" t="str">
        <f t="shared" si="2"/>
        <v>SUPERSAT</v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>
        <v>11.8</v>
      </c>
      <c r="D14" s="3"/>
      <c r="E14" s="5">
        <f>IF($C14="","",ROUND($C14/Summary!$B$3*100,1))</f>
        <v>87.4</v>
      </c>
      <c r="F14" s="5" t="str">
        <f t="shared" si="0"/>
        <v>SUPERSAT</v>
      </c>
      <c r="H14">
        <v>9</v>
      </c>
      <c r="I14" s="7" t="s">
        <v>21</v>
      </c>
      <c r="J14" s="3">
        <v>12.6</v>
      </c>
      <c r="K14" s="3"/>
      <c r="L14" s="5">
        <f>IF($J14="","",ROUND($J14/Summary!$B$3*100,1))</f>
        <v>93.3</v>
      </c>
      <c r="M14" s="5" t="str">
        <f t="shared" si="1"/>
        <v>SUPERSAT</v>
      </c>
      <c r="O14">
        <v>9</v>
      </c>
      <c r="P14" s="7" t="s">
        <v>39</v>
      </c>
      <c r="Q14" s="3">
        <v>12.7</v>
      </c>
      <c r="R14" s="3"/>
      <c r="S14" s="5">
        <f>IF($Q14="","",ROUND($Q14/Summary!$B$3*100,1))</f>
        <v>94.1</v>
      </c>
      <c r="T14" s="5" t="str">
        <f t="shared" si="2"/>
        <v>SUPERSAT</v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>
        <v>11.8</v>
      </c>
      <c r="D15" s="3"/>
      <c r="E15" s="5">
        <f>IF($C15="","",ROUND($C15/Summary!$B$3*100,1))</f>
        <v>87.4</v>
      </c>
      <c r="F15" s="5" t="str">
        <f t="shared" si="0"/>
        <v>SUPERSAT</v>
      </c>
      <c r="H15">
        <v>10</v>
      </c>
      <c r="I15" s="7" t="s">
        <v>41</v>
      </c>
      <c r="J15" s="3">
        <v>12</v>
      </c>
      <c r="K15" s="3"/>
      <c r="L15" s="5">
        <f>IF($J15="","",ROUND($J15/Summary!$B$3*100,1))</f>
        <v>88.9</v>
      </c>
      <c r="M15" s="5" t="str">
        <f t="shared" si="1"/>
        <v>SUPERSAT</v>
      </c>
      <c r="O15">
        <v>10</v>
      </c>
      <c r="P15" s="7" t="s">
        <v>42</v>
      </c>
      <c r="Q15" s="3">
        <v>11.5</v>
      </c>
      <c r="R15" s="3"/>
      <c r="S15" s="5">
        <f>IF($Q15="","",ROUND($Q15/Summary!$B$3*100,1))</f>
        <v>85.2</v>
      </c>
      <c r="T15" s="5" t="str">
        <f t="shared" si="2"/>
        <v>SUPERSAT</v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>
        <v>11.7</v>
      </c>
      <c r="D16" s="3"/>
      <c r="E16" s="5">
        <f>IF($C16="","",ROUND($C16/Summary!$B$3*100,1))</f>
        <v>86.7</v>
      </c>
      <c r="F16" s="5" t="str">
        <f t="shared" si="0"/>
        <v>SUPERSAT</v>
      </c>
      <c r="H16">
        <v>11</v>
      </c>
      <c r="I16" s="7" t="s">
        <v>44</v>
      </c>
      <c r="J16" s="3">
        <v>12.6</v>
      </c>
      <c r="K16" s="3"/>
      <c r="L16" s="5">
        <f>IF($J16="","",ROUND($J16/Summary!$B$3*100,1))</f>
        <v>93.3</v>
      </c>
      <c r="M16" s="5" t="str">
        <f t="shared" si="1"/>
        <v>SUPERSAT</v>
      </c>
      <c r="O16">
        <v>11</v>
      </c>
      <c r="P16" s="7" t="s">
        <v>45</v>
      </c>
      <c r="Q16" s="3">
        <v>11.7</v>
      </c>
      <c r="R16" s="3"/>
      <c r="S16" s="5">
        <f>IF($Q16="","",ROUND($Q16/Summary!$B$3*100,1))</f>
        <v>86.7</v>
      </c>
      <c r="T16" s="5" t="str">
        <f t="shared" si="2"/>
        <v>SUPERSAT</v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>
        <v>11.7</v>
      </c>
      <c r="D17" s="3"/>
      <c r="E17" s="5">
        <f>IF($C17="","",ROUND($C17/Summary!$B$3*100,1))</f>
        <v>86.7</v>
      </c>
      <c r="F17" s="5" t="str">
        <f t="shared" si="0"/>
        <v>SUPERSAT</v>
      </c>
      <c r="H17">
        <v>12</v>
      </c>
      <c r="I17" s="7" t="s">
        <v>47</v>
      </c>
      <c r="J17" s="3">
        <v>12.3</v>
      </c>
      <c r="K17" s="3"/>
      <c r="L17" s="5">
        <f>IF($J17="","",ROUND($J17/Summary!$B$3*100,1))</f>
        <v>91.1</v>
      </c>
      <c r="M17" s="5" t="str">
        <f t="shared" si="1"/>
        <v>SUPERSAT</v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>
        <v>11.7</v>
      </c>
      <c r="D18" s="3"/>
      <c r="E18" s="5">
        <f>IF($C18="","",ROUND($C18/Summary!$B$3*100,1))</f>
        <v>86.7</v>
      </c>
      <c r="F18" s="5" t="str">
        <f t="shared" si="0"/>
        <v>SUPERSAT</v>
      </c>
      <c r="H18">
        <v>13</v>
      </c>
      <c r="I18" s="7" t="s">
        <v>24</v>
      </c>
      <c r="J18" s="3">
        <v>12.1</v>
      </c>
      <c r="K18" s="3"/>
      <c r="L18" s="5">
        <f>IF($J18="","",ROUND($J18/Summary!$B$3*100,1))</f>
        <v>89.6</v>
      </c>
      <c r="M18" s="5" t="str">
        <f t="shared" si="1"/>
        <v>SUPERSAT</v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>
        <v>11.7</v>
      </c>
      <c r="D19" s="3"/>
      <c r="E19" s="5">
        <f>IF($C19="","",ROUND($C19/Summary!$B$3*100,1))</f>
        <v>86.7</v>
      </c>
      <c r="F19" s="5" t="str">
        <f t="shared" si="0"/>
        <v>SUPERSAT</v>
      </c>
      <c r="H19">
        <v>14</v>
      </c>
      <c r="I19" s="7" t="s">
        <v>51</v>
      </c>
      <c r="J19" s="3">
        <v>12.7</v>
      </c>
      <c r="K19" s="3"/>
      <c r="L19" s="5">
        <f>IF($J19="","",ROUND($J19/Summary!$B$3*100,1))</f>
        <v>94.1</v>
      </c>
      <c r="M19" s="5" t="str">
        <f t="shared" si="1"/>
        <v>SUPERSAT</v>
      </c>
      <c r="P19" s="8" t="s">
        <v>52</v>
      </c>
      <c r="Q19" s="5">
        <f>COUNT(Q6:Q16)</f>
        <v>11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>
        <v>11.7</v>
      </c>
      <c r="D20" s="3"/>
      <c r="E20" s="5">
        <f>IF($C20="","",ROUND($C20/Summary!$B$3*100,1))</f>
        <v>86.7</v>
      </c>
      <c r="F20" s="5" t="str">
        <f t="shared" si="0"/>
        <v>SUPERSAT</v>
      </c>
      <c r="H20">
        <v>15</v>
      </c>
      <c r="I20" s="7" t="s">
        <v>54</v>
      </c>
      <c r="J20" s="3">
        <v>12.6</v>
      </c>
      <c r="K20" s="3"/>
      <c r="L20" s="5">
        <f>IF($J20="","",ROUND($J20/Summary!$B$3*100,1))</f>
        <v>93.3</v>
      </c>
      <c r="M20" s="5" t="str">
        <f t="shared" si="1"/>
        <v>SUPERSAT</v>
      </c>
      <c r="P20" s="8" t="s">
        <v>55</v>
      </c>
      <c r="Q20" s="5">
        <f>IFERROR(AVERAGE(Q6:Q16),"")</f>
        <v>12.381818181818181</v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>
        <v>11.7</v>
      </c>
      <c r="D21" s="3"/>
      <c r="E21" s="5">
        <f>IF($C21="","",ROUND($C21/Summary!$B$3*100,1))</f>
        <v>86.7</v>
      </c>
      <c r="F21" s="5" t="str">
        <f t="shared" si="0"/>
        <v>SUPERSAT</v>
      </c>
      <c r="H21">
        <v>16</v>
      </c>
      <c r="I21" s="7" t="s">
        <v>57</v>
      </c>
      <c r="J21" s="3">
        <v>12.5</v>
      </c>
      <c r="K21" s="3"/>
      <c r="L21" s="5">
        <f>IF($J21="","",ROUND($J21/Summary!$B$3*100,1))</f>
        <v>92.6</v>
      </c>
      <c r="M21" s="5" t="str">
        <f t="shared" si="1"/>
        <v>SUPERSAT</v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>
        <v>12.2</v>
      </c>
      <c r="D22" s="3"/>
      <c r="E22" s="5">
        <f>IF($C22="","",ROUND($C22/Summary!$B$3*100,1))</f>
        <v>90.4</v>
      </c>
      <c r="F22" s="5" t="str">
        <f t="shared" si="0"/>
        <v>SUPERSAT</v>
      </c>
      <c r="H22">
        <v>17</v>
      </c>
      <c r="I22" s="7" t="s">
        <v>27</v>
      </c>
      <c r="J22" s="3">
        <v>12.6</v>
      </c>
      <c r="K22" s="3"/>
      <c r="L22" s="5">
        <f>IF($J22="","",ROUND($J22/Summary!$B$3*100,1))</f>
        <v>93.3</v>
      </c>
      <c r="M22" s="5" t="str">
        <f t="shared" si="1"/>
        <v>SUPERSAT</v>
      </c>
      <c r="P22" s="8" t="s">
        <v>60</v>
      </c>
      <c r="Q22" s="5">
        <f>IFERROR(MIN(Q6:Q16),"")</f>
        <v>11.5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>
        <v>12.2</v>
      </c>
      <c r="D23" s="3"/>
      <c r="E23" s="5">
        <f>IF($C23="","",ROUND($C23/Summary!$B$3*100,1))</f>
        <v>90.4</v>
      </c>
      <c r="F23" s="5" t="str">
        <f t="shared" si="0"/>
        <v>SUPERSAT</v>
      </c>
      <c r="H23">
        <v>18</v>
      </c>
      <c r="I23" s="7" t="s">
        <v>62</v>
      </c>
      <c r="J23" s="3">
        <v>12.6</v>
      </c>
      <c r="K23" s="3"/>
      <c r="L23" s="5">
        <f>IF($J23="","",ROUND($J23/Summary!$B$3*100,1))</f>
        <v>93.3</v>
      </c>
      <c r="M23" s="5" t="str">
        <f t="shared" si="1"/>
        <v>SUPERSAT</v>
      </c>
      <c r="P23" s="8" t="s">
        <v>63</v>
      </c>
      <c r="Q23" s="5">
        <f>IFERROR(MAX(Q6:Q16),"")</f>
        <v>12.7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>
        <v>12.2</v>
      </c>
      <c r="D24" s="3"/>
      <c r="E24" s="5">
        <f>IF($C24="","",ROUND($C24/Summary!$B$3*100,1))</f>
        <v>90.4</v>
      </c>
      <c r="F24" s="5" t="str">
        <f t="shared" si="0"/>
        <v>SUPERSAT</v>
      </c>
      <c r="H24">
        <v>19</v>
      </c>
      <c r="I24" s="7" t="s">
        <v>65</v>
      </c>
      <c r="J24" s="3">
        <v>12.3</v>
      </c>
      <c r="K24" s="3"/>
      <c r="L24" s="5">
        <f>IF($J24="","",ROUND($J24/Summary!$B$3*100,1))</f>
        <v>91.1</v>
      </c>
      <c r="M24" s="5" t="str">
        <f t="shared" si="1"/>
        <v>SUPERSAT</v>
      </c>
      <c r="P24" s="8" t="s">
        <v>66</v>
      </c>
      <c r="Q24" s="5">
        <f>IF(COUNT(Q6:Q16)=0,"",MAX(Q6:Q16)-MIN(Q6:Q16))</f>
        <v>1.1999999999999993</v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>
        <v>12.4</v>
      </c>
      <c r="D25" s="3"/>
      <c r="E25" s="5">
        <f>IF($C25="","",ROUND($C25/Summary!$B$3*100,1))</f>
        <v>91.9</v>
      </c>
      <c r="F25" s="5" t="str">
        <f t="shared" si="0"/>
        <v>SUPERSAT</v>
      </c>
      <c r="H25">
        <v>20</v>
      </c>
      <c r="I25" s="7" t="s">
        <v>68</v>
      </c>
      <c r="J25" s="3">
        <v>12.1</v>
      </c>
      <c r="K25" s="3"/>
      <c r="L25" s="5">
        <f>IF($J25="","",ROUND($J25/Summary!$B$3*100,1))</f>
        <v>89.6</v>
      </c>
      <c r="M25" s="5" t="str">
        <f t="shared" si="1"/>
        <v>SUPERSAT</v>
      </c>
      <c r="P25" s="8" t="s">
        <v>69</v>
      </c>
      <c r="Q25" s="5">
        <f>IFERROR(AVERAGE(S6:S16),"")</f>
        <v>91.727272727272734</v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>
        <v>12.3</v>
      </c>
      <c r="D26" s="3"/>
      <c r="E26" s="5">
        <f>IF($C26="","",ROUND($C26/Summary!$B$3*100,1))</f>
        <v>91.1</v>
      </c>
      <c r="F26" s="5" t="str">
        <f t="shared" si="0"/>
        <v>SUPERSAT</v>
      </c>
      <c r="H26">
        <v>21</v>
      </c>
      <c r="I26" s="7" t="s">
        <v>29</v>
      </c>
      <c r="J26" s="3">
        <v>12.1</v>
      </c>
      <c r="K26" s="3"/>
      <c r="L26" s="5">
        <f>IF($J26="","",ROUND($J26/Summary!$B$3*100,1))</f>
        <v>89.6</v>
      </c>
      <c r="M26" s="5" t="str">
        <f t="shared" si="1"/>
        <v>SUPERSAT</v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>
        <v>12.3</v>
      </c>
      <c r="D27" s="3"/>
      <c r="E27" s="5">
        <f>IF($C27="","",ROUND($C27/Summary!$B$3*100,1))</f>
        <v>91.1</v>
      </c>
      <c r="F27" s="5" t="str">
        <f t="shared" si="0"/>
        <v>SUPERSAT</v>
      </c>
      <c r="H27">
        <v>22</v>
      </c>
      <c r="I27" s="7" t="s">
        <v>72</v>
      </c>
      <c r="J27" s="3">
        <v>12.5</v>
      </c>
      <c r="K27" s="3"/>
      <c r="L27" s="5">
        <f>IF($J27="","",ROUND($J27/Summary!$B$3*100,1))</f>
        <v>92.6</v>
      </c>
      <c r="M27" s="5" t="str">
        <f t="shared" si="1"/>
        <v>SUPERSAT</v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>
        <v>12.5</v>
      </c>
      <c r="D28" s="3"/>
      <c r="E28" s="5">
        <f>IF($C28="","",ROUND($C28/Summary!$B$3*100,1))</f>
        <v>92.6</v>
      </c>
      <c r="F28" s="5" t="str">
        <f t="shared" si="0"/>
        <v>SUPERSAT</v>
      </c>
      <c r="H28">
        <v>23</v>
      </c>
      <c r="I28" s="7" t="s">
        <v>74</v>
      </c>
      <c r="J28" s="3">
        <v>12.6</v>
      </c>
      <c r="K28" s="3"/>
      <c r="L28" s="5">
        <f>IF($J28="","",ROUND($J28/Summary!$B$3*100,1))</f>
        <v>93.3</v>
      </c>
      <c r="M28" s="5" t="str">
        <f t="shared" si="1"/>
        <v>SUPERSAT</v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>
        <v>12.3</v>
      </c>
      <c r="D29" s="3"/>
      <c r="E29" s="5">
        <f>IF($C29="","",ROUND($C29/Summary!$B$3*100,1))</f>
        <v>91.1</v>
      </c>
      <c r="F29" s="5" t="str">
        <f t="shared" si="0"/>
        <v>SUPERSAT</v>
      </c>
      <c r="H29">
        <v>24</v>
      </c>
      <c r="I29" s="7" t="s">
        <v>76</v>
      </c>
      <c r="J29" s="3">
        <v>12.3</v>
      </c>
      <c r="K29" s="3"/>
      <c r="L29" s="5">
        <f>IF($J29="","",ROUND($J29/Summary!$B$3*100,1))</f>
        <v>91.1</v>
      </c>
      <c r="M29" s="5" t="str">
        <f t="shared" si="1"/>
        <v>SUPERSAT</v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>
        <v>12.5</v>
      </c>
      <c r="D30" s="3"/>
      <c r="E30" s="5">
        <f>IF($C30="","",ROUND($C30/Summary!$B$3*100,1))</f>
        <v>92.6</v>
      </c>
      <c r="F30" s="5" t="str">
        <f t="shared" si="0"/>
        <v>SUPERSAT</v>
      </c>
      <c r="H30">
        <v>25</v>
      </c>
      <c r="I30" s="7" t="s">
        <v>32</v>
      </c>
      <c r="J30" s="3">
        <v>12.6</v>
      </c>
      <c r="K30" s="3"/>
      <c r="L30" s="5">
        <f>IF($J30="","",ROUND($J30/Summary!$B$3*100,1))</f>
        <v>93.3</v>
      </c>
      <c r="M30" s="5" t="str">
        <f t="shared" si="1"/>
        <v>SUPERSAT</v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>
        <v>12.5</v>
      </c>
      <c r="D31" s="3"/>
      <c r="E31" s="5">
        <f>IF($C31="","",ROUND($C31/Summary!$B$3*100,1))</f>
        <v>92.6</v>
      </c>
      <c r="F31" s="5" t="str">
        <f t="shared" si="0"/>
        <v>SUPERSAT</v>
      </c>
      <c r="H31">
        <v>26</v>
      </c>
      <c r="I31" s="7" t="s">
        <v>79</v>
      </c>
      <c r="J31" s="3">
        <v>12.5</v>
      </c>
      <c r="K31" s="3"/>
      <c r="L31" s="5">
        <f>IF($J31="","",ROUND($J31/Summary!$B$3*100,1))</f>
        <v>92.6</v>
      </c>
      <c r="M31" s="5" t="str">
        <f t="shared" si="1"/>
        <v>SUPERSAT</v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>
        <v>12.7</v>
      </c>
      <c r="D32" s="3"/>
      <c r="E32" s="5">
        <f>IF($C32="","",ROUND($C32/Summary!$B$3*100,1))</f>
        <v>94.1</v>
      </c>
      <c r="F32" s="5" t="str">
        <f t="shared" si="0"/>
        <v>SUPERSAT</v>
      </c>
      <c r="H32">
        <v>27</v>
      </c>
      <c r="I32" s="7" t="s">
        <v>81</v>
      </c>
      <c r="J32" s="3">
        <v>12.3</v>
      </c>
      <c r="K32" s="3"/>
      <c r="L32" s="5">
        <f>IF($J32="","",ROUND($J32/Summary!$B$3*100,1))</f>
        <v>91.1</v>
      </c>
      <c r="M32" s="5" t="str">
        <f t="shared" si="1"/>
        <v>SUPERSAT</v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>
        <v>12.7</v>
      </c>
      <c r="D33" s="3"/>
      <c r="E33" s="5">
        <f>IF($C33="","",ROUND($C33/Summary!$B$3*100,1))</f>
        <v>94.1</v>
      </c>
      <c r="F33" s="5" t="str">
        <f t="shared" si="0"/>
        <v>SUPERSAT</v>
      </c>
      <c r="H33">
        <v>28</v>
      </c>
      <c r="I33" s="7" t="s">
        <v>83</v>
      </c>
      <c r="J33" s="3">
        <v>12.2</v>
      </c>
      <c r="K33" s="3"/>
      <c r="L33" s="5">
        <f>IF($J33="","",ROUND($J33/Summary!$B$3*100,1))</f>
        <v>90.4</v>
      </c>
      <c r="M33" s="5" t="str">
        <f t="shared" si="1"/>
        <v>SUPERSAT</v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>
        <v>12.7</v>
      </c>
      <c r="D34" s="3"/>
      <c r="E34" s="5">
        <f>IF($C34="","",ROUND($C34/Summary!$B$3*100,1))</f>
        <v>94.1</v>
      </c>
      <c r="F34" s="5" t="str">
        <f t="shared" si="0"/>
        <v>SUPERSAT</v>
      </c>
      <c r="H34">
        <v>29</v>
      </c>
      <c r="I34" s="7" t="s">
        <v>35</v>
      </c>
      <c r="J34" s="3">
        <v>12.1</v>
      </c>
      <c r="K34" s="3"/>
      <c r="L34" s="5">
        <f>IF($J34="","",ROUND($J34/Summary!$B$3*100,1))</f>
        <v>89.6</v>
      </c>
      <c r="M34" s="5" t="str">
        <f t="shared" si="1"/>
        <v>SUPERSAT</v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3">
        <v>12.7</v>
      </c>
      <c r="D35" s="3"/>
      <c r="E35" s="5">
        <f>IF($C35="","",ROUND($C35/Summary!$B$3*100,1))</f>
        <v>94.1</v>
      </c>
      <c r="F35" s="5" t="str">
        <f t="shared" si="0"/>
        <v>SUPERSAT</v>
      </c>
      <c r="H35">
        <v>30</v>
      </c>
      <c r="I35" s="7" t="s">
        <v>86</v>
      </c>
      <c r="J35" s="3">
        <v>12</v>
      </c>
      <c r="K35" s="3"/>
      <c r="L35" s="5">
        <f>IF($J35="","",ROUND($J35/Summary!$B$3*100,1))</f>
        <v>88.9</v>
      </c>
      <c r="M35" s="5" t="str">
        <f t="shared" si="1"/>
        <v>SUPERSAT</v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>
        <v>12.6</v>
      </c>
      <c r="D36" s="3"/>
      <c r="E36" s="5">
        <f>IF($C36="","",ROUND($C36/Summary!$B$3*100,1))</f>
        <v>93.3</v>
      </c>
      <c r="F36" s="5" t="str">
        <f t="shared" si="0"/>
        <v>SUPERSAT</v>
      </c>
      <c r="H36">
        <v>31</v>
      </c>
      <c r="I36" s="7" t="s">
        <v>88</v>
      </c>
      <c r="J36" s="3">
        <v>12</v>
      </c>
      <c r="K36" s="3"/>
      <c r="L36" s="5">
        <f>IF($J36="","",ROUND($J36/Summary!$B$3*100,1))</f>
        <v>88.9</v>
      </c>
      <c r="M36" s="5" t="str">
        <f t="shared" si="1"/>
        <v>SUPERSAT</v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>
        <v>12.6</v>
      </c>
      <c r="D37" s="3"/>
      <c r="E37" s="5">
        <f>IF($C37="","",ROUND($C37/Summary!$B$3*100,1))</f>
        <v>93.3</v>
      </c>
      <c r="F37" s="5" t="str">
        <f t="shared" si="0"/>
        <v>SUPERSAT</v>
      </c>
      <c r="H37">
        <v>32</v>
      </c>
      <c r="I37" s="7" t="s">
        <v>90</v>
      </c>
      <c r="J37" s="3">
        <v>12.7</v>
      </c>
      <c r="K37" s="3"/>
      <c r="L37" s="5">
        <f>IF($J37="","",ROUND($J37/Summary!$B$3*100,1))</f>
        <v>94.1</v>
      </c>
      <c r="M37" s="5" t="str">
        <f t="shared" si="1"/>
        <v>SUPERSAT</v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>
        <v>12.6</v>
      </c>
      <c r="D38" s="3"/>
      <c r="E38" s="5">
        <f>IF($C38="","",ROUND($C38/Summary!$B$3*100,1))</f>
        <v>93.3</v>
      </c>
      <c r="F38" s="5" t="str">
        <f t="shared" ref="F38:F55" si="4">IF($C38="","",IF($C38&lt;2,"LETHAL",IF($C38&lt;4,"CRITICAL",IF($C38&lt;5,"LOW",IF($C38&lt;=8,"HEALTHY","SUPERSAT")))))</f>
        <v>SUPERSAT</v>
      </c>
      <c r="H38">
        <v>33</v>
      </c>
      <c r="I38" s="7" t="s">
        <v>38</v>
      </c>
      <c r="J38" s="3">
        <v>12.9</v>
      </c>
      <c r="K38" s="3"/>
      <c r="L38" s="5">
        <f>IF($J38="","",ROUND($J38/Summary!$B$3*100,1))</f>
        <v>95.6</v>
      </c>
      <c r="M38" s="5" t="str">
        <f t="shared" ref="M38:M55" si="5">IF($J38="","",IF($J38&lt;2,"LETHAL",IF($J38&lt;4,"CRITICAL",IF($J38&lt;5,"LOW",IF($J38&lt;=8,"HEALTHY","SUPERSAT")))))</f>
        <v>SUPERSAT</v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>
        <v>12.6</v>
      </c>
      <c r="D39" s="3"/>
      <c r="E39" s="5">
        <f>IF($C39="","",ROUND($C39/Summary!$B$3*100,1))</f>
        <v>93.3</v>
      </c>
      <c r="F39" s="5" t="str">
        <f t="shared" si="4"/>
        <v>SUPERSAT</v>
      </c>
      <c r="H39">
        <v>34</v>
      </c>
      <c r="I39" s="7" t="s">
        <v>93</v>
      </c>
      <c r="J39" s="3">
        <v>12.3</v>
      </c>
      <c r="K39" s="3"/>
      <c r="L39" s="5">
        <f>IF($J39="","",ROUND($J39/Summary!$B$3*100,1))</f>
        <v>91.1</v>
      </c>
      <c r="M39" s="5" t="str">
        <f t="shared" si="5"/>
        <v>SUPERSAT</v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>
        <v>12.7</v>
      </c>
      <c r="D40" s="3"/>
      <c r="E40" s="5">
        <f>IF($C40="","",ROUND($C40/Summary!$B$3*100,1))</f>
        <v>94.1</v>
      </c>
      <c r="F40" s="5" t="str">
        <f t="shared" si="4"/>
        <v>SUPERSAT</v>
      </c>
      <c r="H40">
        <v>35</v>
      </c>
      <c r="I40" s="7" t="s">
        <v>95</v>
      </c>
      <c r="J40" s="3">
        <v>12.6</v>
      </c>
      <c r="K40" s="3"/>
      <c r="L40" s="5">
        <f>IF($J40="","",ROUND($J40/Summary!$B$3*100,1))</f>
        <v>93.3</v>
      </c>
      <c r="M40" s="5" t="str">
        <f t="shared" si="5"/>
        <v>SUPERSAT</v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>
        <v>12.7</v>
      </c>
      <c r="D41" s="3"/>
      <c r="E41" s="5">
        <f>IF($C41="","",ROUND($C41/Summary!$B$3*100,1))</f>
        <v>94.1</v>
      </c>
      <c r="F41" s="5" t="str">
        <f t="shared" si="4"/>
        <v>SUPERSAT</v>
      </c>
      <c r="H41">
        <v>36</v>
      </c>
      <c r="I41" s="7" t="s">
        <v>97</v>
      </c>
      <c r="J41" s="3">
        <v>12.5</v>
      </c>
      <c r="K41" s="3"/>
      <c r="L41" s="5">
        <f>IF($J41="","",ROUND($J41/Summary!$B$3*100,1))</f>
        <v>92.6</v>
      </c>
      <c r="M41" s="5" t="str">
        <f t="shared" si="5"/>
        <v>SUPERSAT</v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>
        <v>12.6</v>
      </c>
      <c r="D42" s="3"/>
      <c r="E42" s="5">
        <f>IF($C42="","",ROUND($C42/Summary!$B$3*100,1))</f>
        <v>93.3</v>
      </c>
      <c r="F42" s="5" t="str">
        <f t="shared" si="4"/>
        <v>SUPERSAT</v>
      </c>
      <c r="H42">
        <v>37</v>
      </c>
      <c r="I42" s="7" t="s">
        <v>40</v>
      </c>
      <c r="J42" s="3">
        <v>12.5</v>
      </c>
      <c r="K42" s="3"/>
      <c r="L42" s="5">
        <f>IF($J42="","",ROUND($J42/Summary!$B$3*100,1))</f>
        <v>92.6</v>
      </c>
      <c r="M42" s="5" t="str">
        <f t="shared" si="5"/>
        <v>SUPERSAT</v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>
        <v>12.6</v>
      </c>
      <c r="D43" s="3"/>
      <c r="E43" s="5">
        <f>IF($C43="","",ROUND($C43/Summary!$B$3*100,1))</f>
        <v>93.3</v>
      </c>
      <c r="F43" s="5" t="str">
        <f t="shared" si="4"/>
        <v>SUPERSAT</v>
      </c>
      <c r="H43">
        <v>38</v>
      </c>
      <c r="I43" s="7" t="s">
        <v>100</v>
      </c>
      <c r="J43" s="3">
        <v>12</v>
      </c>
      <c r="K43" s="3"/>
      <c r="L43" s="5">
        <f>IF($J43="","",ROUND($J43/Summary!$B$3*100,1))</f>
        <v>88.9</v>
      </c>
      <c r="M43" s="5" t="str">
        <f t="shared" si="5"/>
        <v>SUPERSAT</v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>
        <v>12.5</v>
      </c>
      <c r="D44" s="3"/>
      <c r="E44" s="5">
        <f>IF($C44="","",ROUND($C44/Summary!$B$3*100,1))</f>
        <v>92.6</v>
      </c>
      <c r="F44" s="5" t="str">
        <f t="shared" si="4"/>
        <v>SUPERSAT</v>
      </c>
      <c r="H44">
        <v>39</v>
      </c>
      <c r="I44" s="7" t="s">
        <v>102</v>
      </c>
      <c r="J44" s="3">
        <v>12.5</v>
      </c>
      <c r="K44" s="3"/>
      <c r="L44" s="5">
        <f>IF($J44="","",ROUND($J44/Summary!$B$3*100,1))</f>
        <v>92.6</v>
      </c>
      <c r="M44" s="5" t="str">
        <f t="shared" si="5"/>
        <v>SUPERSAT</v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>
        <v>12.3</v>
      </c>
      <c r="D45" s="3"/>
      <c r="E45" s="5">
        <f>IF($C45="","",ROUND($C45/Summary!$B$3*100,1))</f>
        <v>91.1</v>
      </c>
      <c r="F45" s="5" t="str">
        <f t="shared" si="4"/>
        <v>SUPERSAT</v>
      </c>
      <c r="H45">
        <v>40</v>
      </c>
      <c r="I45" s="7" t="s">
        <v>104</v>
      </c>
      <c r="J45" s="3">
        <v>12.5</v>
      </c>
      <c r="K45" s="3"/>
      <c r="L45" s="5">
        <f>IF($J45="","",ROUND($J45/Summary!$B$3*100,1))</f>
        <v>92.6</v>
      </c>
      <c r="M45" s="5" t="str">
        <f t="shared" si="5"/>
        <v>SUPERSAT</v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>
        <v>12.3</v>
      </c>
      <c r="D46" s="3"/>
      <c r="E46" s="5">
        <f>IF($C46="","",ROUND($C46/Summary!$B$3*100,1))</f>
        <v>91.1</v>
      </c>
      <c r="F46" s="5" t="str">
        <f t="shared" si="4"/>
        <v>SUPERSAT</v>
      </c>
      <c r="H46">
        <v>41</v>
      </c>
      <c r="I46" s="7" t="s">
        <v>43</v>
      </c>
      <c r="J46" s="3">
        <v>12.6</v>
      </c>
      <c r="K46" s="3"/>
      <c r="L46" s="5">
        <f>IF($J46="","",ROUND($J46/Summary!$B$3*100,1))</f>
        <v>93.3</v>
      </c>
      <c r="M46" s="5" t="str">
        <f t="shared" si="5"/>
        <v>SUPERSAT</v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3">
        <v>12.4</v>
      </c>
      <c r="D47" s="3"/>
      <c r="E47" s="5">
        <f>IF($C47="","",ROUND($C47/Summary!$B$3*100,1))</f>
        <v>91.9</v>
      </c>
      <c r="F47" s="5" t="str">
        <f t="shared" si="4"/>
        <v>SUPERSAT</v>
      </c>
      <c r="H47">
        <v>42</v>
      </c>
      <c r="I47" s="7" t="s">
        <v>107</v>
      </c>
      <c r="J47" s="3">
        <v>12.3</v>
      </c>
      <c r="K47" s="3"/>
      <c r="L47" s="5">
        <f>IF($J47="","",ROUND($J47/Summary!$B$3*100,1))</f>
        <v>91.1</v>
      </c>
      <c r="M47" s="5" t="str">
        <f t="shared" si="5"/>
        <v>SUPERSAT</v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>
        <v>12.4</v>
      </c>
      <c r="D48" s="3"/>
      <c r="E48" s="5">
        <f>IF($C48="","",ROUND($C48/Summary!$B$3*100,1))</f>
        <v>91.9</v>
      </c>
      <c r="F48" s="5" t="str">
        <f t="shared" si="4"/>
        <v>SUPERSAT</v>
      </c>
      <c r="H48">
        <v>43</v>
      </c>
      <c r="I48" s="7" t="s">
        <v>109</v>
      </c>
      <c r="J48" s="3">
        <v>12.7</v>
      </c>
      <c r="K48" s="3"/>
      <c r="L48" s="5">
        <f>IF($J48="","",ROUND($J48/Summary!$B$3*100,1))</f>
        <v>94.1</v>
      </c>
      <c r="M48" s="5" t="str">
        <f t="shared" si="5"/>
        <v>SUPERSAT</v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>
        <v>12.6</v>
      </c>
      <c r="D49" s="3"/>
      <c r="E49" s="5">
        <f>IF($C49="","",ROUND($C49/Summary!$B$3*100,1))</f>
        <v>93.3</v>
      </c>
      <c r="F49" s="5" t="str">
        <f t="shared" si="4"/>
        <v>SUPERSAT</v>
      </c>
      <c r="H49">
        <v>44</v>
      </c>
      <c r="I49" s="7" t="s">
        <v>111</v>
      </c>
      <c r="J49" s="3">
        <v>12.7</v>
      </c>
      <c r="K49" s="3"/>
      <c r="L49" s="5">
        <f>IF($J49="","",ROUND($J49/Summary!$B$3*100,1))</f>
        <v>94.1</v>
      </c>
      <c r="M49" s="5" t="str">
        <f t="shared" si="5"/>
        <v>SUPERSAT</v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>
        <v>12.6</v>
      </c>
      <c r="D50" s="3"/>
      <c r="E50" s="5">
        <f>IF($C50="","",ROUND($C50/Summary!$B$3*100,1))</f>
        <v>93.3</v>
      </c>
      <c r="F50" s="5" t="str">
        <f t="shared" si="4"/>
        <v>SUPERSAT</v>
      </c>
      <c r="H50">
        <v>45</v>
      </c>
      <c r="I50" s="7" t="s">
        <v>46</v>
      </c>
      <c r="J50" s="3">
        <v>12.6</v>
      </c>
      <c r="K50" s="3"/>
      <c r="L50" s="5">
        <f>IF($J50="","",ROUND($J50/Summary!$B$3*100,1))</f>
        <v>93.3</v>
      </c>
      <c r="M50" s="5" t="str">
        <f t="shared" si="5"/>
        <v>SUPERSAT</v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>
        <v>12.9</v>
      </c>
      <c r="D51" s="3"/>
      <c r="E51" s="5">
        <f>IF($C51="","",ROUND($C51/Summary!$B$3*100,1))</f>
        <v>95.6</v>
      </c>
      <c r="F51" s="5" t="str">
        <f t="shared" si="4"/>
        <v>SUPERSAT</v>
      </c>
      <c r="H51">
        <v>46</v>
      </c>
      <c r="I51" s="7" t="s">
        <v>114</v>
      </c>
      <c r="J51" s="3">
        <v>12.6</v>
      </c>
      <c r="K51" s="3"/>
      <c r="L51" s="5">
        <f>IF($J51="","",ROUND($J51/Summary!$B$3*100,1))</f>
        <v>93.3</v>
      </c>
      <c r="M51" s="5" t="str">
        <f t="shared" si="5"/>
        <v>SUPERSAT</v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>
        <v>12.6</v>
      </c>
      <c r="D52" s="3"/>
      <c r="E52" s="5">
        <f>IF($C52="","",ROUND($C52/Summary!$B$3*100,1))</f>
        <v>93.3</v>
      </c>
      <c r="F52" s="5" t="str">
        <f t="shared" si="4"/>
        <v>SUPERSAT</v>
      </c>
      <c r="H52">
        <v>47</v>
      </c>
      <c r="I52" s="7" t="s">
        <v>116</v>
      </c>
      <c r="J52" s="3">
        <v>12.5</v>
      </c>
      <c r="K52" s="3"/>
      <c r="L52" s="5">
        <f>IF($J52="","",ROUND($J52/Summary!$B$3*100,1))</f>
        <v>92.6</v>
      </c>
      <c r="M52" s="5" t="str">
        <f t="shared" si="5"/>
        <v>SUPERSAT</v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>
        <v>12.6</v>
      </c>
      <c r="D53" s="3"/>
      <c r="E53" s="5">
        <f>IF($C53="","",ROUND($C53/Summary!$B$3*100,1))</f>
        <v>93.3</v>
      </c>
      <c r="F53" s="5" t="str">
        <f t="shared" si="4"/>
        <v>SUPERSAT</v>
      </c>
      <c r="H53">
        <v>48</v>
      </c>
      <c r="I53" s="7" t="s">
        <v>118</v>
      </c>
      <c r="J53" s="3">
        <v>12.6</v>
      </c>
      <c r="K53" s="3"/>
      <c r="L53" s="5">
        <f>IF($J53="","",ROUND($J53/Summary!$B$3*100,1))</f>
        <v>93.3</v>
      </c>
      <c r="M53" s="5" t="str">
        <f t="shared" si="5"/>
        <v>SUPERSAT</v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>
        <v>12.7</v>
      </c>
      <c r="D54" s="3"/>
      <c r="E54" s="5">
        <f>IF($C54="","",ROUND($C54/Summary!$B$3*100,1))</f>
        <v>94.1</v>
      </c>
      <c r="F54" s="5" t="str">
        <f t="shared" si="4"/>
        <v>SUPERSAT</v>
      </c>
      <c r="H54">
        <v>49</v>
      </c>
      <c r="I54" s="7" t="s">
        <v>48</v>
      </c>
      <c r="J54" s="3">
        <v>12.5</v>
      </c>
      <c r="K54" s="3"/>
      <c r="L54" s="5">
        <f>IF($J54="","",ROUND($J54/Summary!$B$3*100,1))</f>
        <v>92.6</v>
      </c>
      <c r="M54" s="5" t="str">
        <f t="shared" si="5"/>
        <v>SUPERSAT</v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>
        <v>12.6</v>
      </c>
      <c r="D55" s="3"/>
      <c r="E55" s="5">
        <f>IF($C55="","",ROUND($C55/Summary!$B$3*100,1))</f>
        <v>93.3</v>
      </c>
      <c r="F55" s="5" t="str">
        <f t="shared" si="4"/>
        <v>SUPERSAT</v>
      </c>
      <c r="H55">
        <v>50</v>
      </c>
      <c r="I55" s="7" t="s">
        <v>121</v>
      </c>
      <c r="J55" s="3">
        <v>12.7</v>
      </c>
      <c r="K55" s="3"/>
      <c r="L55" s="5">
        <f>IF($J55="","",ROUND($J55/Summary!$B$3*100,1))</f>
        <v>94.1</v>
      </c>
      <c r="M55" s="5" t="str">
        <f t="shared" si="5"/>
        <v>SUPERSAT</v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50</v>
      </c>
      <c r="I58" s="8" t="s">
        <v>52</v>
      </c>
      <c r="J58" s="5">
        <f>COUNT(J6:J55)</f>
        <v>50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>
        <f>IFERROR(AVERAGE(C6:C55),"")</f>
        <v>12.278000000000002</v>
      </c>
      <c r="I59" s="8" t="s">
        <v>55</v>
      </c>
      <c r="J59" s="5">
        <f>IFERROR(AVERAGE(J6:J55),"")</f>
        <v>12.466000000000006</v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>
        <f>D55</f>
        <v>0</v>
      </c>
      <c r="I60" s="8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11.3</v>
      </c>
      <c r="I61" s="8" t="s">
        <v>60</v>
      </c>
      <c r="J61" s="5">
        <f>IFERROR(MIN(J6:J55),"")</f>
        <v>11.7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13.5</v>
      </c>
      <c r="I62" s="8" t="s">
        <v>63</v>
      </c>
      <c r="J62" s="5">
        <f>IFERROR(MAX(J6:J55),"")</f>
        <v>13.5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>
        <f>IF(COUNT(C6:C55)=0,"",MAX(C6:C55)-MIN(C6:C55))</f>
        <v>2.1999999999999993</v>
      </c>
      <c r="I63" s="8" t="s">
        <v>66</v>
      </c>
      <c r="J63" s="5">
        <f>IF(COUNT(J6:J55)=0,"",MAX(J6:J55)-MIN(J6:J55))</f>
        <v>1.8000000000000007</v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>
        <f>IFERROR(AVERAGE(E6:E55),"")</f>
        <v>90.954000000000036</v>
      </c>
      <c r="I64" s="8" t="s">
        <v>69</v>
      </c>
      <c r="J64" s="5">
        <f>IFERROR(AVERAGE(L6:L55),"")</f>
        <v>92.335999999999999</v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9"/>
  <sheetViews>
    <sheetView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4.42578125" customWidth="1"/>
    <col min="9" max="9" width="10" customWidth="1"/>
    <col min="10" max="10" width="9" customWidth="1"/>
    <col min="11" max="12" width="8" customWidth="1"/>
    <col min="13" max="13" width="11" customWidth="1"/>
    <col min="14" max="14" width="6.5703125" customWidth="1"/>
    <col min="15" max="15" width="9.285156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126</v>
      </c>
    </row>
    <row r="2" spans="1:27" x14ac:dyDescent="0.25">
      <c r="A2" t="s">
        <v>1</v>
      </c>
      <c r="B2" s="9" t="s">
        <v>182</v>
      </c>
      <c r="C2" t="s">
        <v>2</v>
      </c>
      <c r="D2" s="10" t="s">
        <v>184</v>
      </c>
      <c r="H2" t="s">
        <v>3</v>
      </c>
      <c r="I2" s="3"/>
      <c r="J2" s="11" t="s">
        <v>180</v>
      </c>
      <c r="O2" t="s">
        <v>4</v>
      </c>
      <c r="P2" s="10" t="s">
        <v>181</v>
      </c>
      <c r="V2" t="s">
        <v>5</v>
      </c>
      <c r="W2" s="5">
        <f>Summary!$B$3</f>
        <v>13.5</v>
      </c>
    </row>
    <row r="3" spans="1:27" x14ac:dyDescent="0.25">
      <c r="D3" s="11" t="s">
        <v>185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2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>
        <v>3.2</v>
      </c>
      <c r="D6" s="3"/>
      <c r="E6" s="5">
        <f>IF($C6="","",ROUND($C6/Summary!$B$3*100,1))</f>
        <v>23.7</v>
      </c>
      <c r="F6" s="5" t="str">
        <f t="shared" ref="F6:F37" si="0">IF($C6="","",IF($C6&lt;2,"LETHAL",IF($C6&lt;4,"CRITICAL",IF($C6&lt;5,"LOW",IF($C6&lt;=8,"HEALTHY","SUPERSAT")))))</f>
        <v>CRITICAL</v>
      </c>
      <c r="H6">
        <v>1</v>
      </c>
      <c r="I6" s="7" t="s">
        <v>16</v>
      </c>
      <c r="J6" s="3">
        <v>3.2</v>
      </c>
      <c r="K6" s="3"/>
      <c r="L6" s="5">
        <f>IF($J6="","",ROUND($J6/Summary!$B$3*100,1))</f>
        <v>23.7</v>
      </c>
      <c r="M6" s="5" t="str">
        <f t="shared" ref="M6:M37" si="1">IF($J6="","",IF($J6&lt;2,"LETHAL",IF($J6&lt;4,"CRITICAL",IF($J6&lt;5,"LOW",IF($J6&lt;=8,"HEALTHY","SUPERSAT")))))</f>
        <v>CRITICAL</v>
      </c>
      <c r="O6">
        <v>1</v>
      </c>
      <c r="P6" s="7" t="s">
        <v>17</v>
      </c>
      <c r="Q6" s="3">
        <v>3.3</v>
      </c>
      <c r="R6" s="3"/>
      <c r="S6" s="5">
        <f>IF($Q6="","",ROUND($Q6/Summary!$B$3*100,1))</f>
        <v>24.4</v>
      </c>
      <c r="T6" s="5" t="str">
        <f t="shared" ref="T6:T16" si="2">IF($Q6="","",IF($Q6&lt;2,"LETHAL",IF($Q6&lt;4,"CRITICAL",IF($Q6&lt;5,"LOW",IF($Q6&lt;=8,"HEALTHY","SUPERSAT")))))</f>
        <v>CRITICAL</v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>
        <v>3.3</v>
      </c>
      <c r="D7" s="3"/>
      <c r="E7" s="5">
        <f>IF($C7="","",ROUND($C7/Summary!$B$3*100,1))</f>
        <v>24.4</v>
      </c>
      <c r="F7" s="5" t="str">
        <f t="shared" si="0"/>
        <v>CRITICAL</v>
      </c>
      <c r="H7">
        <v>2</v>
      </c>
      <c r="I7" s="7" t="s">
        <v>19</v>
      </c>
      <c r="J7" s="3">
        <v>3.5</v>
      </c>
      <c r="K7" s="3"/>
      <c r="L7" s="5">
        <f>IF($J7="","",ROUND($J7/Summary!$B$3*100,1))</f>
        <v>25.9</v>
      </c>
      <c r="M7" s="5" t="str">
        <f t="shared" si="1"/>
        <v>CRITICAL</v>
      </c>
      <c r="O7">
        <v>2</v>
      </c>
      <c r="P7" s="7" t="s">
        <v>20</v>
      </c>
      <c r="Q7" s="3">
        <v>5.5</v>
      </c>
      <c r="R7" s="3"/>
      <c r="S7" s="5">
        <f>IF($Q7="","",ROUND($Q7/Summary!$B$3*100,1))</f>
        <v>40.700000000000003</v>
      </c>
      <c r="T7" s="5" t="str">
        <f t="shared" si="2"/>
        <v>HEALTHY</v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>
        <v>3.4</v>
      </c>
      <c r="D8" s="3"/>
      <c r="E8" s="5">
        <f>IF($C8="","",ROUND($C8/Summary!$B$3*100,1))</f>
        <v>25.2</v>
      </c>
      <c r="F8" s="5" t="str">
        <f t="shared" si="0"/>
        <v>CRITICAL</v>
      </c>
      <c r="H8">
        <v>3</v>
      </c>
      <c r="I8" s="7" t="s">
        <v>22</v>
      </c>
      <c r="J8" s="3">
        <v>4.3</v>
      </c>
      <c r="K8" s="3"/>
      <c r="L8" s="5">
        <f>IF($J8="","",ROUND($J8/Summary!$B$3*100,1))</f>
        <v>31.9</v>
      </c>
      <c r="M8" s="5" t="str">
        <f t="shared" si="1"/>
        <v>LOW</v>
      </c>
      <c r="O8">
        <v>3</v>
      </c>
      <c r="P8" s="7" t="s">
        <v>23</v>
      </c>
      <c r="Q8" s="10">
        <v>5.8</v>
      </c>
      <c r="R8" s="3"/>
      <c r="S8" s="5">
        <f>IF($Q8="","",ROUND($Q8/Summary!$B$3*100,1))</f>
        <v>43</v>
      </c>
      <c r="T8" s="5" t="str">
        <f t="shared" si="2"/>
        <v>HEALTHY</v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>
        <v>3.6</v>
      </c>
      <c r="D9" s="3"/>
      <c r="E9" s="5">
        <f>IF($C9="","",ROUND($C9/Summary!$B$3*100,1))</f>
        <v>26.7</v>
      </c>
      <c r="F9" s="5" t="str">
        <f t="shared" si="0"/>
        <v>CRITICAL</v>
      </c>
      <c r="H9">
        <v>4</v>
      </c>
      <c r="I9" s="7" t="s">
        <v>25</v>
      </c>
      <c r="J9" s="3">
        <v>5.5</v>
      </c>
      <c r="K9" s="3"/>
      <c r="L9" s="5">
        <f>IF($J9="","",ROUND($J9/Summary!$B$3*100,1))</f>
        <v>40.700000000000003</v>
      </c>
      <c r="M9" s="5" t="str">
        <f t="shared" si="1"/>
        <v>HEALTHY</v>
      </c>
      <c r="O9">
        <v>4</v>
      </c>
      <c r="P9" s="7" t="s">
        <v>26</v>
      </c>
      <c r="Q9" s="3">
        <v>5.8</v>
      </c>
      <c r="R9" s="3"/>
      <c r="S9" s="5">
        <f>IF($Q9="","",ROUND($Q9/Summary!$B$3*100,1))</f>
        <v>43</v>
      </c>
      <c r="T9" s="5" t="str">
        <f t="shared" si="2"/>
        <v>HEALTHY</v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>
        <v>3.7</v>
      </c>
      <c r="D10" s="3"/>
      <c r="E10" s="5">
        <f>IF($C10="","",ROUND($C10/Summary!$B$3*100,1))</f>
        <v>27.4</v>
      </c>
      <c r="F10" s="5" t="str">
        <f t="shared" si="0"/>
        <v>CRITICAL</v>
      </c>
      <c r="H10">
        <v>5</v>
      </c>
      <c r="I10" s="7" t="s">
        <v>18</v>
      </c>
      <c r="J10" s="3">
        <v>5.5</v>
      </c>
      <c r="K10" s="3"/>
      <c r="L10" s="5">
        <f>IF($J10="","",ROUND($J10/Summary!$B$3*100,1))</f>
        <v>40.700000000000003</v>
      </c>
      <c r="M10" s="5" t="str">
        <f t="shared" si="1"/>
        <v>HEALTHY</v>
      </c>
      <c r="O10">
        <v>5</v>
      </c>
      <c r="P10" s="7" t="s">
        <v>28</v>
      </c>
      <c r="Q10" s="3">
        <v>5.4</v>
      </c>
      <c r="R10" s="3"/>
      <c r="S10" s="5">
        <f>IF($Q10="","",ROUND($Q10/Summary!$B$3*100,1))</f>
        <v>40</v>
      </c>
      <c r="T10" s="5" t="str">
        <f t="shared" si="2"/>
        <v>HEALTHY</v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>
        <v>3.6</v>
      </c>
      <c r="D11" s="3"/>
      <c r="E11" s="5">
        <f>IF($C11="","",ROUND($C11/Summary!$B$3*100,1))</f>
        <v>26.7</v>
      </c>
      <c r="F11" s="5" t="str">
        <f t="shared" si="0"/>
        <v>CRITICAL</v>
      </c>
      <c r="H11">
        <v>6</v>
      </c>
      <c r="I11" s="7" t="s">
        <v>30</v>
      </c>
      <c r="J11" s="3">
        <v>5.4</v>
      </c>
      <c r="K11" s="3"/>
      <c r="L11" s="5">
        <f>IF($J11="","",ROUND($J11/Summary!$B$3*100,1))</f>
        <v>40</v>
      </c>
      <c r="M11" s="5" t="str">
        <f t="shared" si="1"/>
        <v>HEALTHY</v>
      </c>
      <c r="O11">
        <v>6</v>
      </c>
      <c r="P11" s="7" t="s">
        <v>31</v>
      </c>
      <c r="Q11" s="3">
        <v>5.5</v>
      </c>
      <c r="R11" s="3"/>
      <c r="S11" s="5">
        <f>IF($Q11="","",ROUND($Q11/Summary!$B$3*100,1))</f>
        <v>40.700000000000003</v>
      </c>
      <c r="T11" s="5" t="str">
        <f t="shared" si="2"/>
        <v>HEALTHY</v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>
        <v>3.7</v>
      </c>
      <c r="D12" s="3"/>
      <c r="E12" s="5">
        <f>IF($C12="","",ROUND($C12/Summary!$B$3*100,1))</f>
        <v>27.4</v>
      </c>
      <c r="F12" s="5" t="str">
        <f t="shared" si="0"/>
        <v>CRITICAL</v>
      </c>
      <c r="H12">
        <v>7</v>
      </c>
      <c r="I12" s="7" t="s">
        <v>33</v>
      </c>
      <c r="J12" s="3">
        <v>5.5</v>
      </c>
      <c r="K12" s="3"/>
      <c r="L12" s="5">
        <f>IF($J12="","",ROUND($J12/Summary!$B$3*100,1))</f>
        <v>40.700000000000003</v>
      </c>
      <c r="M12" s="5" t="str">
        <f t="shared" si="1"/>
        <v>HEALTHY</v>
      </c>
      <c r="O12">
        <v>7</v>
      </c>
      <c r="P12" s="7" t="s">
        <v>34</v>
      </c>
      <c r="Q12" s="3">
        <v>5.4</v>
      </c>
      <c r="R12" s="3"/>
      <c r="S12" s="5">
        <f>IF($Q12="","",ROUND($Q12/Summary!$B$3*100,1))</f>
        <v>40</v>
      </c>
      <c r="T12" s="5" t="str">
        <f t="shared" si="2"/>
        <v>HEALTHY</v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>
        <v>3.8</v>
      </c>
      <c r="D13" s="3"/>
      <c r="E13" s="5">
        <f>IF($C13="","",ROUND($C13/Summary!$B$3*100,1))</f>
        <v>28.1</v>
      </c>
      <c r="F13" s="5" t="str">
        <f t="shared" si="0"/>
        <v>CRITICAL</v>
      </c>
      <c r="H13">
        <v>8</v>
      </c>
      <c r="I13" s="7" t="s">
        <v>36</v>
      </c>
      <c r="J13" s="3">
        <v>5.5</v>
      </c>
      <c r="K13" s="3"/>
      <c r="L13" s="5">
        <f>IF($J13="","",ROUND($J13/Summary!$B$3*100,1))</f>
        <v>40.700000000000003</v>
      </c>
      <c r="M13" s="5" t="str">
        <f t="shared" si="1"/>
        <v>HEALTHY</v>
      </c>
      <c r="O13">
        <v>8</v>
      </c>
      <c r="P13" s="7" t="s">
        <v>37</v>
      </c>
      <c r="Q13" s="3">
        <v>5.4</v>
      </c>
      <c r="R13" s="3"/>
      <c r="S13" s="5">
        <f>IF($Q13="","",ROUND($Q13/Summary!$B$3*100,1))</f>
        <v>40</v>
      </c>
      <c r="T13" s="5" t="str">
        <f t="shared" si="2"/>
        <v>HEALTHY</v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>
        <v>3.4</v>
      </c>
      <c r="D14" s="3"/>
      <c r="E14" s="5">
        <f>IF($C14="","",ROUND($C14/Summary!$B$3*100,1))</f>
        <v>25.2</v>
      </c>
      <c r="F14" s="5" t="str">
        <f t="shared" si="0"/>
        <v>CRITICAL</v>
      </c>
      <c r="H14">
        <v>9</v>
      </c>
      <c r="I14" s="7" t="s">
        <v>21</v>
      </c>
      <c r="J14" s="3">
        <v>5.6</v>
      </c>
      <c r="K14" s="3"/>
      <c r="L14" s="5">
        <f>IF($J14="","",ROUND($J14/Summary!$B$3*100,1))</f>
        <v>41.5</v>
      </c>
      <c r="M14" s="5" t="str">
        <f t="shared" si="1"/>
        <v>HEALTHY</v>
      </c>
      <c r="O14">
        <v>9</v>
      </c>
      <c r="P14" s="7" t="s">
        <v>39</v>
      </c>
      <c r="Q14" s="3">
        <v>5.3</v>
      </c>
      <c r="R14" s="3"/>
      <c r="S14" s="5">
        <f>IF($Q14="","",ROUND($Q14/Summary!$B$3*100,1))</f>
        <v>39.299999999999997</v>
      </c>
      <c r="T14" s="5" t="str">
        <f t="shared" si="2"/>
        <v>HEALTHY</v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>
        <v>3.5</v>
      </c>
      <c r="D15" s="3"/>
      <c r="E15" s="5">
        <f>IF($C15="","",ROUND($C15/Summary!$B$3*100,1))</f>
        <v>25.9</v>
      </c>
      <c r="F15" s="5" t="str">
        <f t="shared" si="0"/>
        <v>CRITICAL</v>
      </c>
      <c r="H15">
        <v>10</v>
      </c>
      <c r="I15" s="7" t="s">
        <v>41</v>
      </c>
      <c r="J15" s="3">
        <v>5.7</v>
      </c>
      <c r="K15" s="3"/>
      <c r="L15" s="5">
        <f>IF($J15="","",ROUND($J15/Summary!$B$3*100,1))</f>
        <v>42.2</v>
      </c>
      <c r="M15" s="5" t="str">
        <f t="shared" si="1"/>
        <v>HEALTHY</v>
      </c>
      <c r="O15">
        <v>10</v>
      </c>
      <c r="P15" s="7" t="s">
        <v>42</v>
      </c>
      <c r="Q15" s="3">
        <v>5.5</v>
      </c>
      <c r="R15" s="3"/>
      <c r="S15" s="5">
        <f>IF($Q15="","",ROUND($Q15/Summary!$B$3*100,1))</f>
        <v>40.700000000000003</v>
      </c>
      <c r="T15" s="5" t="str">
        <f t="shared" si="2"/>
        <v>HEALTHY</v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>
        <v>3.5</v>
      </c>
      <c r="D16" s="3"/>
      <c r="E16" s="5">
        <f>IF($C16="","",ROUND($C16/Summary!$B$3*100,1))</f>
        <v>25.9</v>
      </c>
      <c r="F16" s="5" t="str">
        <f t="shared" si="0"/>
        <v>CRITICAL</v>
      </c>
      <c r="H16">
        <v>11</v>
      </c>
      <c r="I16" s="7" t="s">
        <v>44</v>
      </c>
      <c r="J16" s="3">
        <v>5.7</v>
      </c>
      <c r="K16" s="3"/>
      <c r="L16" s="5">
        <f>IF($J16="","",ROUND($J16/Summary!$B$3*100,1))</f>
        <v>42.2</v>
      </c>
      <c r="M16" s="5" t="str">
        <f t="shared" si="1"/>
        <v>HEALTHY</v>
      </c>
      <c r="O16">
        <v>11</v>
      </c>
      <c r="P16" s="7" t="s">
        <v>45</v>
      </c>
      <c r="Q16" s="3">
        <v>5.4</v>
      </c>
      <c r="R16" s="3"/>
      <c r="S16" s="5">
        <f>IF($Q16="","",ROUND($Q16/Summary!$B$3*100,1))</f>
        <v>40</v>
      </c>
      <c r="T16" s="5" t="str">
        <f t="shared" si="2"/>
        <v>HEALTHY</v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>
        <v>3.7</v>
      </c>
      <c r="D17" s="3"/>
      <c r="E17" s="5">
        <f>IF($C17="","",ROUND($C17/Summary!$B$3*100,1))</f>
        <v>27.4</v>
      </c>
      <c r="F17" s="5" t="str">
        <f t="shared" si="0"/>
        <v>CRITICAL</v>
      </c>
      <c r="H17">
        <v>12</v>
      </c>
      <c r="I17" s="7" t="s">
        <v>47</v>
      </c>
      <c r="J17" s="3">
        <v>5.8</v>
      </c>
      <c r="K17" s="3"/>
      <c r="L17" s="5">
        <f>IF($J17="","",ROUND($J17/Summary!$B$3*100,1))</f>
        <v>43</v>
      </c>
      <c r="M17" s="5" t="str">
        <f t="shared" si="1"/>
        <v>HEALTHY</v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>
        <v>3.6</v>
      </c>
      <c r="D18" s="3"/>
      <c r="E18" s="5">
        <f>IF($C18="","",ROUND($C18/Summary!$B$3*100,1))</f>
        <v>26.7</v>
      </c>
      <c r="F18" s="5" t="str">
        <f t="shared" si="0"/>
        <v>CRITICAL</v>
      </c>
      <c r="H18">
        <v>13</v>
      </c>
      <c r="I18" s="7" t="s">
        <v>24</v>
      </c>
      <c r="J18" s="3">
        <v>5.5</v>
      </c>
      <c r="K18" s="3"/>
      <c r="L18" s="5">
        <f>IF($J18="","",ROUND($J18/Summary!$B$3*100,1))</f>
        <v>40.700000000000003</v>
      </c>
      <c r="M18" s="5" t="str">
        <f t="shared" si="1"/>
        <v>HEALTHY</v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>
        <v>3.5</v>
      </c>
      <c r="D19" s="3"/>
      <c r="E19" s="5">
        <f>IF($C19="","",ROUND($C19/Summary!$B$3*100,1))</f>
        <v>25.9</v>
      </c>
      <c r="F19" s="5" t="str">
        <f t="shared" si="0"/>
        <v>CRITICAL</v>
      </c>
      <c r="H19">
        <v>14</v>
      </c>
      <c r="I19" s="7" t="s">
        <v>51</v>
      </c>
      <c r="J19" s="3">
        <v>5.5</v>
      </c>
      <c r="K19" s="3"/>
      <c r="L19" s="5">
        <f>IF($J19="","",ROUND($J19/Summary!$B$3*100,1))</f>
        <v>40.700000000000003</v>
      </c>
      <c r="M19" s="5" t="str">
        <f t="shared" si="1"/>
        <v>HEALTHY</v>
      </c>
      <c r="P19" s="8" t="s">
        <v>52</v>
      </c>
      <c r="Q19" s="5">
        <f>COUNT(Q6:Q16)</f>
        <v>11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>
        <v>3.5</v>
      </c>
      <c r="D20" s="3"/>
      <c r="E20" s="5">
        <f>IF($C20="","",ROUND($C20/Summary!$B$3*100,1))</f>
        <v>25.9</v>
      </c>
      <c r="F20" s="5" t="str">
        <f t="shared" si="0"/>
        <v>CRITICAL</v>
      </c>
      <c r="H20">
        <v>15</v>
      </c>
      <c r="I20" s="7" t="s">
        <v>54</v>
      </c>
      <c r="J20" s="3">
        <v>5.5</v>
      </c>
      <c r="K20" s="3"/>
      <c r="L20" s="5">
        <f>IF($J20="","",ROUND($J20/Summary!$B$3*100,1))</f>
        <v>40.700000000000003</v>
      </c>
      <c r="M20" s="5" t="str">
        <f t="shared" si="1"/>
        <v>HEALTHY</v>
      </c>
      <c r="P20" s="8" t="s">
        <v>55</v>
      </c>
      <c r="Q20" s="5">
        <f>IFERROR(AVERAGE(Q6:Q16),"")</f>
        <v>5.3</v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>
        <v>3.5</v>
      </c>
      <c r="D21" s="3"/>
      <c r="E21" s="5">
        <f>IF($C21="","",ROUND($C21/Summary!$B$3*100,1))</f>
        <v>25.9</v>
      </c>
      <c r="F21" s="5" t="str">
        <f t="shared" si="0"/>
        <v>CRITICAL</v>
      </c>
      <c r="H21">
        <v>16</v>
      </c>
      <c r="I21" s="7" t="s">
        <v>57</v>
      </c>
      <c r="J21" s="3">
        <v>5.7</v>
      </c>
      <c r="K21" s="3"/>
      <c r="L21" s="5">
        <f>IF($J21="","",ROUND($J21/Summary!$B$3*100,1))</f>
        <v>42.2</v>
      </c>
      <c r="M21" s="5" t="str">
        <f t="shared" si="1"/>
        <v>HEALTHY</v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>
        <v>3.4</v>
      </c>
      <c r="D22" s="3"/>
      <c r="E22" s="5">
        <f>IF($C22="","",ROUND($C22/Summary!$B$3*100,1))</f>
        <v>25.2</v>
      </c>
      <c r="F22" s="5" t="str">
        <f t="shared" si="0"/>
        <v>CRITICAL</v>
      </c>
      <c r="H22">
        <v>17</v>
      </c>
      <c r="I22" s="7" t="s">
        <v>27</v>
      </c>
      <c r="J22" s="3">
        <v>5.5</v>
      </c>
      <c r="K22" s="3"/>
      <c r="L22" s="5">
        <f>IF($J22="","",ROUND($J22/Summary!$B$3*100,1))</f>
        <v>40.700000000000003</v>
      </c>
      <c r="M22" s="5" t="str">
        <f t="shared" si="1"/>
        <v>HEALTHY</v>
      </c>
      <c r="P22" s="8" t="s">
        <v>60</v>
      </c>
      <c r="Q22" s="5">
        <f>IFERROR(MIN(Q6:Q16),"")</f>
        <v>3.3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>
        <v>4.3</v>
      </c>
      <c r="D23" s="3"/>
      <c r="E23" s="5">
        <f>IF($C23="","",ROUND($C23/Summary!$B$3*100,1))</f>
        <v>31.9</v>
      </c>
      <c r="F23" s="5" t="str">
        <f t="shared" si="0"/>
        <v>LOW</v>
      </c>
      <c r="H23">
        <v>18</v>
      </c>
      <c r="I23" s="7" t="s">
        <v>62</v>
      </c>
      <c r="J23" s="3">
        <v>5.6</v>
      </c>
      <c r="K23" s="3"/>
      <c r="L23" s="5">
        <f>IF($J23="","",ROUND($J23/Summary!$B$3*100,1))</f>
        <v>41.5</v>
      </c>
      <c r="M23" s="5" t="str">
        <f t="shared" si="1"/>
        <v>HEALTHY</v>
      </c>
      <c r="P23" s="8" t="s">
        <v>63</v>
      </c>
      <c r="Q23" s="5">
        <f>IFERROR(MAX(Q6:Q16),"")</f>
        <v>5.8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>
        <v>4.3</v>
      </c>
      <c r="D24" s="3"/>
      <c r="E24" s="5">
        <f>IF($C24="","",ROUND($C24/Summary!$B$3*100,1))</f>
        <v>31.9</v>
      </c>
      <c r="F24" s="5" t="str">
        <f t="shared" si="0"/>
        <v>LOW</v>
      </c>
      <c r="H24">
        <v>19</v>
      </c>
      <c r="I24" s="7" t="s">
        <v>65</v>
      </c>
      <c r="J24" s="3">
        <v>5.5</v>
      </c>
      <c r="K24" s="3"/>
      <c r="L24" s="5">
        <f>IF($J24="","",ROUND($J24/Summary!$B$3*100,1))</f>
        <v>40.700000000000003</v>
      </c>
      <c r="M24" s="5" t="str">
        <f t="shared" si="1"/>
        <v>HEALTHY</v>
      </c>
      <c r="P24" s="8" t="s">
        <v>66</v>
      </c>
      <c r="Q24" s="5">
        <f>IF(COUNT(Q6:Q16)=0,"",MAX(Q6:Q16)-MIN(Q6:Q16))</f>
        <v>2.5</v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>
        <v>4.3</v>
      </c>
      <c r="D25" s="3"/>
      <c r="E25" s="5">
        <f>IF($C25="","",ROUND($C25/Summary!$B$3*100,1))</f>
        <v>31.9</v>
      </c>
      <c r="F25" s="5" t="str">
        <f t="shared" si="0"/>
        <v>LOW</v>
      </c>
      <c r="H25">
        <v>20</v>
      </c>
      <c r="I25" s="7" t="s">
        <v>68</v>
      </c>
      <c r="J25" s="3">
        <v>5.4</v>
      </c>
      <c r="K25" s="3"/>
      <c r="L25" s="5">
        <f>IF($J25="","",ROUND($J25/Summary!$B$3*100,1))</f>
        <v>40</v>
      </c>
      <c r="M25" s="5" t="str">
        <f t="shared" si="1"/>
        <v>HEALTHY</v>
      </c>
      <c r="P25" s="8" t="s">
        <v>69</v>
      </c>
      <c r="Q25" s="5">
        <f>IFERROR(AVERAGE(S6:S16),"")</f>
        <v>39.254545454545458</v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>
        <v>4.4000000000000004</v>
      </c>
      <c r="D26" s="3"/>
      <c r="E26" s="5">
        <f>IF($C26="","",ROUND($C26/Summary!$B$3*100,1))</f>
        <v>32.6</v>
      </c>
      <c r="F26" s="5" t="str">
        <f t="shared" si="0"/>
        <v>LOW</v>
      </c>
      <c r="H26">
        <v>21</v>
      </c>
      <c r="I26" s="7" t="s">
        <v>29</v>
      </c>
      <c r="J26" s="3">
        <v>5.8</v>
      </c>
      <c r="K26" s="3"/>
      <c r="L26" s="5">
        <f>IF($J26="","",ROUND($J26/Summary!$B$3*100,1))</f>
        <v>43</v>
      </c>
      <c r="M26" s="5" t="str">
        <f t="shared" si="1"/>
        <v>HEALTHY</v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>
        <v>4.5</v>
      </c>
      <c r="D27" s="3"/>
      <c r="E27" s="5">
        <f>IF($C27="","",ROUND($C27/Summary!$B$3*100,1))</f>
        <v>33.299999999999997</v>
      </c>
      <c r="F27" s="5" t="str">
        <f t="shared" si="0"/>
        <v>LOW</v>
      </c>
      <c r="H27">
        <v>22</v>
      </c>
      <c r="I27" s="7" t="s">
        <v>72</v>
      </c>
      <c r="J27" s="3">
        <v>5.8</v>
      </c>
      <c r="K27" s="3"/>
      <c r="L27" s="5">
        <f>IF($J27="","",ROUND($J27/Summary!$B$3*100,1))</f>
        <v>43</v>
      </c>
      <c r="M27" s="5" t="str">
        <f t="shared" si="1"/>
        <v>HEALTHY</v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>
        <v>4.5999999999999996</v>
      </c>
      <c r="D28" s="3"/>
      <c r="E28" s="5">
        <f>IF($C28="","",ROUND($C28/Summary!$B$3*100,1))</f>
        <v>34.1</v>
      </c>
      <c r="F28" s="5" t="str">
        <f t="shared" si="0"/>
        <v>LOW</v>
      </c>
      <c r="H28">
        <v>23</v>
      </c>
      <c r="I28" s="7" t="s">
        <v>74</v>
      </c>
      <c r="J28" s="3">
        <v>5.4</v>
      </c>
      <c r="K28" s="3"/>
      <c r="L28" s="5">
        <f>IF($J28="","",ROUND($J28/Summary!$B$3*100,1))</f>
        <v>40</v>
      </c>
      <c r="M28" s="5" t="str">
        <f t="shared" si="1"/>
        <v>HEALTHY</v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>
        <v>4.5</v>
      </c>
      <c r="D29" s="3"/>
      <c r="E29" s="5">
        <f>IF($C29="","",ROUND($C29/Summary!$B$3*100,1))</f>
        <v>33.299999999999997</v>
      </c>
      <c r="F29" s="5" t="str">
        <f t="shared" si="0"/>
        <v>LOW</v>
      </c>
      <c r="H29">
        <v>24</v>
      </c>
      <c r="I29" s="7" t="s">
        <v>76</v>
      </c>
      <c r="J29" s="3">
        <v>5.5</v>
      </c>
      <c r="K29" s="3"/>
      <c r="L29" s="5">
        <f>IF($J29="","",ROUND($J29/Summary!$B$3*100,1))</f>
        <v>40.700000000000003</v>
      </c>
      <c r="M29" s="5" t="str">
        <f t="shared" si="1"/>
        <v>HEALTHY</v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>
        <v>4.7</v>
      </c>
      <c r="D30" s="3"/>
      <c r="E30" s="5">
        <f>IF($C30="","",ROUND($C30/Summary!$B$3*100,1))</f>
        <v>34.799999999999997</v>
      </c>
      <c r="F30" s="5" t="str">
        <f t="shared" si="0"/>
        <v>LOW</v>
      </c>
      <c r="H30">
        <v>25</v>
      </c>
      <c r="I30" s="7" t="s">
        <v>32</v>
      </c>
      <c r="J30" s="3">
        <v>5.8</v>
      </c>
      <c r="K30" s="3"/>
      <c r="L30" s="5">
        <f>IF($J30="","",ROUND($J30/Summary!$B$3*100,1))</f>
        <v>43</v>
      </c>
      <c r="M30" s="5" t="str">
        <f t="shared" si="1"/>
        <v>HEALTHY</v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>
        <v>4.8</v>
      </c>
      <c r="D31" s="3"/>
      <c r="E31" s="5">
        <f>IF($C31="","",ROUND($C31/Summary!$B$3*100,1))</f>
        <v>35.6</v>
      </c>
      <c r="F31" s="5" t="str">
        <f t="shared" si="0"/>
        <v>LOW</v>
      </c>
      <c r="H31">
        <v>26</v>
      </c>
      <c r="I31" s="7" t="s">
        <v>79</v>
      </c>
      <c r="J31" s="3">
        <v>5.5</v>
      </c>
      <c r="K31" s="3"/>
      <c r="L31" s="5">
        <f>IF($J31="","",ROUND($J31/Summary!$B$3*100,1))</f>
        <v>40.700000000000003</v>
      </c>
      <c r="M31" s="5" t="str">
        <f t="shared" si="1"/>
        <v>HEALTHY</v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>
        <v>4.7</v>
      </c>
      <c r="D32" s="3"/>
      <c r="E32" s="5">
        <f>IF($C32="","",ROUND($C32/Summary!$B$3*100,1))</f>
        <v>34.799999999999997</v>
      </c>
      <c r="F32" s="5" t="str">
        <f t="shared" si="0"/>
        <v>LOW</v>
      </c>
      <c r="H32">
        <v>27</v>
      </c>
      <c r="I32" s="7" t="s">
        <v>81</v>
      </c>
      <c r="J32" s="3">
        <v>5.3</v>
      </c>
      <c r="K32" s="3"/>
      <c r="L32" s="5">
        <f>IF($J32="","",ROUND($J32/Summary!$B$3*100,1))</f>
        <v>39.299999999999997</v>
      </c>
      <c r="M32" s="5" t="str">
        <f t="shared" si="1"/>
        <v>HEALTHY</v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>
        <v>4.7</v>
      </c>
      <c r="D33" s="3"/>
      <c r="E33" s="5">
        <f>IF($C33="","",ROUND($C33/Summary!$B$3*100,1))</f>
        <v>34.799999999999997</v>
      </c>
      <c r="F33" s="5" t="str">
        <f t="shared" si="0"/>
        <v>LOW</v>
      </c>
      <c r="H33">
        <v>28</v>
      </c>
      <c r="I33" s="7" t="s">
        <v>83</v>
      </c>
      <c r="J33" s="3">
        <v>5.2</v>
      </c>
      <c r="K33" s="3"/>
      <c r="L33" s="5">
        <f>IF($J33="","",ROUND($J33/Summary!$B$3*100,1))</f>
        <v>38.5</v>
      </c>
      <c r="M33" s="5" t="str">
        <f t="shared" si="1"/>
        <v>HEALTHY</v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>
        <v>4.8</v>
      </c>
      <c r="D34" s="3"/>
      <c r="E34" s="5">
        <f>IF($C34="","",ROUND($C34/Summary!$B$3*100,1))</f>
        <v>35.6</v>
      </c>
      <c r="F34" s="5" t="str">
        <f t="shared" si="0"/>
        <v>LOW</v>
      </c>
      <c r="H34">
        <v>29</v>
      </c>
      <c r="I34" s="7" t="s">
        <v>35</v>
      </c>
      <c r="J34" s="3">
        <v>5.7</v>
      </c>
      <c r="K34" s="3"/>
      <c r="L34" s="5">
        <f>IF($J34="","",ROUND($J34/Summary!$B$3*100,1))</f>
        <v>42.2</v>
      </c>
      <c r="M34" s="5" t="str">
        <f t="shared" si="1"/>
        <v>HEALTHY</v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12">
        <v>4.3</v>
      </c>
      <c r="D35" s="3"/>
      <c r="E35" s="5">
        <f>IF($C35="","",ROUND($C35/Summary!$B$3*100,1))</f>
        <v>31.9</v>
      </c>
      <c r="F35" s="5" t="str">
        <f t="shared" si="0"/>
        <v>LOW</v>
      </c>
      <c r="H35">
        <v>30</v>
      </c>
      <c r="I35" s="7" t="s">
        <v>86</v>
      </c>
      <c r="J35" s="3">
        <v>5.5</v>
      </c>
      <c r="K35" s="3"/>
      <c r="L35" s="5">
        <f>IF($J35="","",ROUND($J35/Summary!$B$3*100,1))</f>
        <v>40.700000000000003</v>
      </c>
      <c r="M35" s="5" t="str">
        <f t="shared" si="1"/>
        <v>HEALTHY</v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>
        <v>4.3</v>
      </c>
      <c r="D36" s="3"/>
      <c r="E36" s="5">
        <f>IF($C36="","",ROUND($C36/Summary!$B$3*100,1))</f>
        <v>31.9</v>
      </c>
      <c r="F36" s="5" t="str">
        <f t="shared" si="0"/>
        <v>LOW</v>
      </c>
      <c r="H36">
        <v>31</v>
      </c>
      <c r="I36" s="7" t="s">
        <v>88</v>
      </c>
      <c r="J36" s="3">
        <v>5.5</v>
      </c>
      <c r="K36" s="3"/>
      <c r="L36" s="5">
        <f>IF($J36="","",ROUND($J36/Summary!$B$3*100,1))</f>
        <v>40.700000000000003</v>
      </c>
      <c r="M36" s="5" t="str">
        <f t="shared" si="1"/>
        <v>HEALTHY</v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>
        <v>4.5</v>
      </c>
      <c r="D37" s="3"/>
      <c r="E37" s="5">
        <f>IF($C37="","",ROUND($C37/Summary!$B$3*100,1))</f>
        <v>33.299999999999997</v>
      </c>
      <c r="F37" s="5" t="str">
        <f t="shared" si="0"/>
        <v>LOW</v>
      </c>
      <c r="H37">
        <v>32</v>
      </c>
      <c r="I37" s="7" t="s">
        <v>90</v>
      </c>
      <c r="J37" s="3">
        <v>5.8</v>
      </c>
      <c r="K37" s="3"/>
      <c r="L37" s="5">
        <f>IF($J37="","",ROUND($J37/Summary!$B$3*100,1))</f>
        <v>43</v>
      </c>
      <c r="M37" s="5" t="str">
        <f t="shared" si="1"/>
        <v>HEALTHY</v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>
        <v>4.9000000000000004</v>
      </c>
      <c r="D38" s="3"/>
      <c r="E38" s="5">
        <f>IF($C38="","",ROUND($C38/Summary!$B$3*100,1))</f>
        <v>36.299999999999997</v>
      </c>
      <c r="F38" s="5" t="str">
        <f t="shared" ref="F38:F55" si="4">IF($C38="","",IF($C38&lt;2,"LETHAL",IF($C38&lt;4,"CRITICAL",IF($C38&lt;5,"LOW",IF($C38&lt;=8,"HEALTHY","SUPERSAT")))))</f>
        <v>LOW</v>
      </c>
      <c r="H38">
        <v>33</v>
      </c>
      <c r="I38" s="7" t="s">
        <v>38</v>
      </c>
      <c r="J38" s="3">
        <v>5.9</v>
      </c>
      <c r="K38" s="3"/>
      <c r="L38" s="5">
        <f>IF($J38="","",ROUND($J38/Summary!$B$3*100,1))</f>
        <v>43.7</v>
      </c>
      <c r="M38" s="5" t="str">
        <f t="shared" ref="M38:M55" si="5">IF($J38="","",IF($J38&lt;2,"LETHAL",IF($J38&lt;4,"CRITICAL",IF($J38&lt;5,"LOW",IF($J38&lt;=8,"HEALTHY","SUPERSAT")))))</f>
        <v>HEALTHY</v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>
        <v>5.3</v>
      </c>
      <c r="D39" s="3"/>
      <c r="E39" s="5">
        <f>IF($C39="","",ROUND($C39/Summary!$B$3*100,1))</f>
        <v>39.299999999999997</v>
      </c>
      <c r="F39" s="5" t="str">
        <f t="shared" si="4"/>
        <v>HEALTHY</v>
      </c>
      <c r="H39">
        <v>34</v>
      </c>
      <c r="I39" s="7" t="s">
        <v>93</v>
      </c>
      <c r="J39" s="3">
        <v>5.5</v>
      </c>
      <c r="K39" s="3"/>
      <c r="L39" s="5">
        <f>IF($J39="","",ROUND($J39/Summary!$B$3*100,1))</f>
        <v>40.700000000000003</v>
      </c>
      <c r="M39" s="5" t="str">
        <f t="shared" si="5"/>
        <v>HEALTHY</v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>
        <v>5.3</v>
      </c>
      <c r="D40" s="3"/>
      <c r="E40" s="5">
        <f>IF($C40="","",ROUND($C40/Summary!$B$3*100,1))</f>
        <v>39.299999999999997</v>
      </c>
      <c r="F40" s="5" t="str">
        <f t="shared" si="4"/>
        <v>HEALTHY</v>
      </c>
      <c r="H40">
        <v>35</v>
      </c>
      <c r="I40" s="7" t="s">
        <v>95</v>
      </c>
      <c r="J40" s="3">
        <v>5.9</v>
      </c>
      <c r="K40" s="3"/>
      <c r="L40" s="5">
        <f>IF($J40="","",ROUND($J40/Summary!$B$3*100,1))</f>
        <v>43.7</v>
      </c>
      <c r="M40" s="5" t="str">
        <f t="shared" si="5"/>
        <v>HEALTHY</v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>
        <v>5.5</v>
      </c>
      <c r="D41" s="3"/>
      <c r="E41" s="5">
        <f>IF($C41="","",ROUND($C41/Summary!$B$3*100,1))</f>
        <v>40.700000000000003</v>
      </c>
      <c r="F41" s="5" t="str">
        <f t="shared" si="4"/>
        <v>HEALTHY</v>
      </c>
      <c r="H41">
        <v>36</v>
      </c>
      <c r="I41" s="7" t="s">
        <v>97</v>
      </c>
      <c r="J41" s="3">
        <v>5.5</v>
      </c>
      <c r="K41" s="3"/>
      <c r="L41" s="5">
        <f>IF($J41="","",ROUND($J41/Summary!$B$3*100,1))</f>
        <v>40.700000000000003</v>
      </c>
      <c r="M41" s="5" t="str">
        <f t="shared" si="5"/>
        <v>HEALTHY</v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>
        <v>5.7</v>
      </c>
      <c r="D42" s="3"/>
      <c r="E42" s="5">
        <f>IF($C42="","",ROUND($C42/Summary!$B$3*100,1))</f>
        <v>42.2</v>
      </c>
      <c r="F42" s="5" t="str">
        <f t="shared" si="4"/>
        <v>HEALTHY</v>
      </c>
      <c r="H42">
        <v>37</v>
      </c>
      <c r="I42" s="7" t="s">
        <v>40</v>
      </c>
      <c r="J42" s="3">
        <v>5.8</v>
      </c>
      <c r="K42" s="3"/>
      <c r="L42" s="5">
        <f>IF($J42="","",ROUND($J42/Summary!$B$3*100,1))</f>
        <v>43</v>
      </c>
      <c r="M42" s="5" t="str">
        <f t="shared" si="5"/>
        <v>HEALTHY</v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>
        <v>5.7</v>
      </c>
      <c r="D43" s="3"/>
      <c r="E43" s="5">
        <f>IF($C43="","",ROUND($C43/Summary!$B$3*100,1))</f>
        <v>42.2</v>
      </c>
      <c r="F43" s="5" t="str">
        <f t="shared" si="4"/>
        <v>HEALTHY</v>
      </c>
      <c r="H43">
        <v>38</v>
      </c>
      <c r="I43" s="7" t="s">
        <v>100</v>
      </c>
      <c r="J43" s="3">
        <v>5.5</v>
      </c>
      <c r="K43" s="3"/>
      <c r="L43" s="5">
        <f>IF($J43="","",ROUND($J43/Summary!$B$3*100,1))</f>
        <v>40.700000000000003</v>
      </c>
      <c r="M43" s="5" t="str">
        <f t="shared" si="5"/>
        <v>HEALTHY</v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>
        <v>5.5</v>
      </c>
      <c r="D44" s="3"/>
      <c r="E44" s="5">
        <f>IF($C44="","",ROUND($C44/Summary!$B$3*100,1))</f>
        <v>40.700000000000003</v>
      </c>
      <c r="F44" s="5" t="str">
        <f t="shared" si="4"/>
        <v>HEALTHY</v>
      </c>
      <c r="H44">
        <v>39</v>
      </c>
      <c r="I44" s="7" t="s">
        <v>102</v>
      </c>
      <c r="J44" s="3">
        <v>5.6</v>
      </c>
      <c r="K44" s="3"/>
      <c r="L44" s="5">
        <f>IF($J44="","",ROUND($J44/Summary!$B$3*100,1))</f>
        <v>41.5</v>
      </c>
      <c r="M44" s="5" t="str">
        <f t="shared" si="5"/>
        <v>HEALTHY</v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>
        <v>5.3</v>
      </c>
      <c r="D45" s="3"/>
      <c r="E45" s="5">
        <f>IF($C45="","",ROUND($C45/Summary!$B$3*100,1))</f>
        <v>39.299999999999997</v>
      </c>
      <c r="F45" s="5" t="str">
        <f t="shared" si="4"/>
        <v>HEALTHY</v>
      </c>
      <c r="H45">
        <v>40</v>
      </c>
      <c r="I45" s="7" t="s">
        <v>104</v>
      </c>
      <c r="J45" s="3">
        <v>5.6</v>
      </c>
      <c r="K45" s="3"/>
      <c r="L45" s="5">
        <f>IF($J45="","",ROUND($J45/Summary!$B$3*100,1))</f>
        <v>41.5</v>
      </c>
      <c r="M45" s="5" t="str">
        <f t="shared" si="5"/>
        <v>HEALTHY</v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>
        <v>5.4</v>
      </c>
      <c r="D46" s="3"/>
      <c r="E46" s="5">
        <f>IF($C46="","",ROUND($C46/Summary!$B$3*100,1))</f>
        <v>40</v>
      </c>
      <c r="F46" s="5" t="str">
        <f t="shared" si="4"/>
        <v>HEALTHY</v>
      </c>
      <c r="H46">
        <v>41</v>
      </c>
      <c r="I46" s="7" t="s">
        <v>43</v>
      </c>
      <c r="J46" s="3">
        <v>5.6</v>
      </c>
      <c r="K46" s="3"/>
      <c r="L46" s="5">
        <f>IF($J46="","",ROUND($J46/Summary!$B$3*100,1))</f>
        <v>41.5</v>
      </c>
      <c r="M46" s="5" t="str">
        <f t="shared" si="5"/>
        <v>HEALTHY</v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3">
        <v>5.7</v>
      </c>
      <c r="D47" s="3"/>
      <c r="E47" s="5">
        <f>IF($C47="","",ROUND($C47/Summary!$B$3*100,1))</f>
        <v>42.2</v>
      </c>
      <c r="F47" s="5" t="str">
        <f t="shared" si="4"/>
        <v>HEALTHY</v>
      </c>
      <c r="H47">
        <v>42</v>
      </c>
      <c r="I47" s="7" t="s">
        <v>107</v>
      </c>
      <c r="J47" s="3">
        <v>5.5</v>
      </c>
      <c r="K47" s="3"/>
      <c r="L47" s="5">
        <f>IF($J47="","",ROUND($J47/Summary!$B$3*100,1))</f>
        <v>40.700000000000003</v>
      </c>
      <c r="M47" s="5" t="str">
        <f t="shared" si="5"/>
        <v>HEALTHY</v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>
        <v>5.3</v>
      </c>
      <c r="D48" s="3"/>
      <c r="E48" s="5">
        <f>IF($C48="","",ROUND($C48/Summary!$B$3*100,1))</f>
        <v>39.299999999999997</v>
      </c>
      <c r="F48" s="5" t="str">
        <f t="shared" si="4"/>
        <v>HEALTHY</v>
      </c>
      <c r="H48">
        <v>43</v>
      </c>
      <c r="I48" s="7" t="s">
        <v>109</v>
      </c>
      <c r="J48" s="3">
        <v>5.5</v>
      </c>
      <c r="K48" s="3"/>
      <c r="L48" s="5">
        <f>IF($J48="","",ROUND($J48/Summary!$B$3*100,1))</f>
        <v>40.700000000000003</v>
      </c>
      <c r="M48" s="5" t="str">
        <f t="shared" si="5"/>
        <v>HEALTHY</v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>
        <v>5.7</v>
      </c>
      <c r="D49" s="3"/>
      <c r="E49" s="5">
        <f>IF($C49="","",ROUND($C49/Summary!$B$3*100,1))</f>
        <v>42.2</v>
      </c>
      <c r="F49" s="5" t="str">
        <f t="shared" si="4"/>
        <v>HEALTHY</v>
      </c>
      <c r="H49">
        <v>44</v>
      </c>
      <c r="I49" s="7" t="s">
        <v>111</v>
      </c>
      <c r="J49" s="3">
        <v>5.7</v>
      </c>
      <c r="K49" s="3"/>
      <c r="L49" s="5">
        <f>IF($J49="","",ROUND($J49/Summary!$B$3*100,1))</f>
        <v>42.2</v>
      </c>
      <c r="M49" s="5" t="str">
        <f t="shared" si="5"/>
        <v>HEALTHY</v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>
        <v>5.7</v>
      </c>
      <c r="D50" s="3"/>
      <c r="E50" s="5">
        <f>IF($C50="","",ROUND($C50/Summary!$B$3*100,1))</f>
        <v>42.2</v>
      </c>
      <c r="F50" s="5" t="str">
        <f t="shared" si="4"/>
        <v>HEALTHY</v>
      </c>
      <c r="H50">
        <v>45</v>
      </c>
      <c r="I50" s="7" t="s">
        <v>46</v>
      </c>
      <c r="J50" s="3">
        <v>5.8</v>
      </c>
      <c r="K50" s="3"/>
      <c r="L50" s="5">
        <f>IF($J50="","",ROUND($J50/Summary!$B$3*100,1))</f>
        <v>43</v>
      </c>
      <c r="M50" s="5" t="str">
        <f t="shared" si="5"/>
        <v>HEALTHY</v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>
        <v>5.5</v>
      </c>
      <c r="D51" s="3"/>
      <c r="E51" s="5">
        <f>IF($C51="","",ROUND($C51/Summary!$B$3*100,1))</f>
        <v>40.700000000000003</v>
      </c>
      <c r="F51" s="5" t="str">
        <f t="shared" si="4"/>
        <v>HEALTHY</v>
      </c>
      <c r="H51">
        <v>46</v>
      </c>
      <c r="I51" s="7" t="s">
        <v>114</v>
      </c>
      <c r="J51" s="3">
        <v>5.5</v>
      </c>
      <c r="K51" s="3"/>
      <c r="L51" s="5">
        <f>IF($J51="","",ROUND($J51/Summary!$B$3*100,1))</f>
        <v>40.700000000000003</v>
      </c>
      <c r="M51" s="5" t="str">
        <f t="shared" si="5"/>
        <v>HEALTHY</v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>
        <v>5.3</v>
      </c>
      <c r="D52" s="3"/>
      <c r="E52" s="5">
        <f>IF($C52="","",ROUND($C52/Summary!$B$3*100,1))</f>
        <v>39.299999999999997</v>
      </c>
      <c r="F52" s="5" t="str">
        <f t="shared" si="4"/>
        <v>HEALTHY</v>
      </c>
      <c r="H52">
        <v>47</v>
      </c>
      <c r="I52" s="7" t="s">
        <v>116</v>
      </c>
      <c r="J52" s="3">
        <v>5.9</v>
      </c>
      <c r="K52" s="3"/>
      <c r="L52" s="5">
        <f>IF($J52="","",ROUND($J52/Summary!$B$3*100,1))</f>
        <v>43.7</v>
      </c>
      <c r="M52" s="5" t="str">
        <f t="shared" si="5"/>
        <v>HEALTHY</v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>
        <v>5.7</v>
      </c>
      <c r="D53" s="3"/>
      <c r="E53" s="5">
        <f>IF($C53="","",ROUND($C53/Summary!$B$3*100,1))</f>
        <v>42.2</v>
      </c>
      <c r="F53" s="5" t="str">
        <f t="shared" si="4"/>
        <v>HEALTHY</v>
      </c>
      <c r="H53">
        <v>48</v>
      </c>
      <c r="I53" s="7" t="s">
        <v>118</v>
      </c>
      <c r="J53" s="3">
        <v>5.5</v>
      </c>
      <c r="K53" s="3"/>
      <c r="L53" s="5">
        <f>IF($J53="","",ROUND($J53/Summary!$B$3*100,1))</f>
        <v>40.700000000000003</v>
      </c>
      <c r="M53" s="5" t="str">
        <f t="shared" si="5"/>
        <v>HEALTHY</v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>
        <v>5.4</v>
      </c>
      <c r="D54" s="3"/>
      <c r="E54" s="5">
        <f>IF($C54="","",ROUND($C54/Summary!$B$3*100,1))</f>
        <v>40</v>
      </c>
      <c r="F54" s="5" t="str">
        <f t="shared" si="4"/>
        <v>HEALTHY</v>
      </c>
      <c r="H54">
        <v>49</v>
      </c>
      <c r="I54" s="7" t="s">
        <v>48</v>
      </c>
      <c r="J54" s="3">
        <v>5.4</v>
      </c>
      <c r="K54" s="3"/>
      <c r="L54" s="5">
        <f>IF($J54="","",ROUND($J54/Summary!$B$3*100,1))</f>
        <v>40</v>
      </c>
      <c r="M54" s="5" t="str">
        <f t="shared" si="5"/>
        <v>HEALTHY</v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>
        <v>5.6</v>
      </c>
      <c r="D55" s="3"/>
      <c r="E55" s="5">
        <f>IF($C55="","",ROUND($C55/Summary!$B$3*100,1))</f>
        <v>41.5</v>
      </c>
      <c r="F55" s="5" t="str">
        <f t="shared" si="4"/>
        <v>HEALTHY</v>
      </c>
      <c r="H55">
        <v>50</v>
      </c>
      <c r="I55" s="7" t="s">
        <v>121</v>
      </c>
      <c r="J55" s="3">
        <v>5.4</v>
      </c>
      <c r="K55" s="3"/>
      <c r="L55" s="5">
        <f>IF($J55="","",ROUND($J55/Summary!$B$3*100,1))</f>
        <v>40</v>
      </c>
      <c r="M55" s="5" t="str">
        <f t="shared" si="5"/>
        <v>HEALTHY</v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50</v>
      </c>
      <c r="I58" s="8" t="s">
        <v>52</v>
      </c>
      <c r="J58" s="5">
        <f>COUNT(J6:J55)</f>
        <v>50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>
        <f>IFERROR(AVERAGE(C6:C55),"")</f>
        <v>4.5220000000000002</v>
      </c>
      <c r="I59" s="8" t="s">
        <v>55</v>
      </c>
      <c r="J59" s="5">
        <f>IFERROR(AVERAGE(J6:J55),"")</f>
        <v>5.4659999999999993</v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 t="str">
        <f ca="1">IFERROR(_xludf.STDEV.S(C6:C55),"")</f>
        <v/>
      </c>
      <c r="I60" s="8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3.2</v>
      </c>
      <c r="I61" s="8" t="s">
        <v>60</v>
      </c>
      <c r="J61" s="5">
        <f>IFERROR(MIN(J6:J55),"")</f>
        <v>3.2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5.7</v>
      </c>
      <c r="I62" s="8" t="s">
        <v>63</v>
      </c>
      <c r="J62" s="5">
        <f>IFERROR(MAX(J6:J55),"")</f>
        <v>5.9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>
        <f>IF(COUNT(C6:C55)=0,"",MAX(C6:C55)-MIN(C6:C55))</f>
        <v>2.5</v>
      </c>
      <c r="I63" s="8" t="s">
        <v>66</v>
      </c>
      <c r="J63" s="5">
        <f>IF(COUNT(J6:J55)=0,"",MAX(J6:J55)-MIN(J6:J55))</f>
        <v>2.7</v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>
        <f>IFERROR(AVERAGE(E6:E55),"")</f>
        <v>33.497999999999998</v>
      </c>
      <c r="I64" s="8" t="s">
        <v>69</v>
      </c>
      <c r="J64" s="5">
        <f>IFERROR(AVERAGE(L6:L55),"")</f>
        <v>40.478000000000016</v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9"/>
  <sheetViews>
    <sheetView topLeftCell="A16"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4.42578125" customWidth="1"/>
    <col min="9" max="9" width="10" customWidth="1"/>
    <col min="10" max="10" width="9" customWidth="1"/>
    <col min="11" max="12" width="8" customWidth="1"/>
    <col min="13" max="13" width="11" customWidth="1"/>
    <col min="14" max="14" width="2" customWidth="1"/>
    <col min="15" max="15" width="4.425781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127</v>
      </c>
    </row>
    <row r="2" spans="1:27" x14ac:dyDescent="0.25">
      <c r="A2" t="s">
        <v>1</v>
      </c>
      <c r="B2" s="10" t="s">
        <v>186</v>
      </c>
      <c r="C2" t="s">
        <v>2</v>
      </c>
      <c r="D2" s="10" t="s">
        <v>179</v>
      </c>
      <c r="H2" t="s">
        <v>3</v>
      </c>
      <c r="I2" s="3"/>
      <c r="O2" t="s">
        <v>4</v>
      </c>
      <c r="P2" s="3"/>
      <c r="V2" t="s">
        <v>5</v>
      </c>
      <c r="W2" s="5">
        <f>Summary!$B$3</f>
        <v>13.5</v>
      </c>
    </row>
    <row r="3" spans="1:27" x14ac:dyDescent="0.25">
      <c r="D3" s="11" t="s">
        <v>187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2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>
        <v>5.0999999999999996</v>
      </c>
      <c r="D6" s="3"/>
      <c r="E6" s="5">
        <f>IF($C6="","",ROUND($C6/Summary!$B$3*100,1))</f>
        <v>37.799999999999997</v>
      </c>
      <c r="F6" s="5" t="str">
        <f t="shared" ref="F6:F37" si="0">IF($C6="","",IF($C6&lt;2,"LETHAL",IF($C6&lt;4,"CRITICAL",IF($C6&lt;5,"LOW",IF($C6&lt;=8,"HEALTHY","SUPERSAT")))))</f>
        <v>HEALTHY</v>
      </c>
      <c r="H6">
        <v>1</v>
      </c>
      <c r="I6" s="7" t="s">
        <v>16</v>
      </c>
      <c r="J6" s="3">
        <v>5.0999999999999996</v>
      </c>
      <c r="K6" s="3"/>
      <c r="L6" s="5">
        <f>IF($J6="","",ROUND($J6/Summary!$B$3*100,1))</f>
        <v>37.799999999999997</v>
      </c>
      <c r="M6" s="5" t="str">
        <f t="shared" ref="M6:M37" si="1">IF($J6="","",IF($J6&lt;2,"LETHAL",IF($J6&lt;4,"CRITICAL",IF($J6&lt;5,"LOW",IF($J6&lt;=8,"HEALTHY","SUPERSAT")))))</f>
        <v>HEALTHY</v>
      </c>
      <c r="O6">
        <v>1</v>
      </c>
      <c r="P6" s="7" t="s">
        <v>17</v>
      </c>
      <c r="Q6" s="3">
        <v>5.0999999999999996</v>
      </c>
      <c r="R6" s="3"/>
      <c r="S6" s="5">
        <f>IF($Q6="","",ROUND($Q6/Summary!$B$3*100,1))</f>
        <v>37.799999999999997</v>
      </c>
      <c r="T6" s="5" t="str">
        <f t="shared" ref="T6:T16" si="2">IF($Q6="","",IF($Q6&lt;2,"LETHAL",IF($Q6&lt;4,"CRITICAL",IF($Q6&lt;5,"LOW",IF($Q6&lt;=8,"HEALTHY","SUPERSAT")))))</f>
        <v>HEALTHY</v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>
        <v>5.3</v>
      </c>
      <c r="D7" s="3"/>
      <c r="E7" s="5">
        <f>IF($C7="","",ROUND($C7/Summary!$B$3*100,1))</f>
        <v>39.299999999999997</v>
      </c>
      <c r="F7" s="5" t="str">
        <f t="shared" si="0"/>
        <v>HEALTHY</v>
      </c>
      <c r="H7">
        <v>2</v>
      </c>
      <c r="I7" s="7" t="s">
        <v>19</v>
      </c>
      <c r="J7" s="3">
        <v>5.5</v>
      </c>
      <c r="K7" s="3"/>
      <c r="L7" s="5">
        <f>IF($J7="","",ROUND($J7/Summary!$B$3*100,1))</f>
        <v>40.700000000000003</v>
      </c>
      <c r="M7" s="5" t="str">
        <f t="shared" si="1"/>
        <v>HEALTHY</v>
      </c>
      <c r="O7">
        <v>2</v>
      </c>
      <c r="P7" s="7" t="s">
        <v>20</v>
      </c>
      <c r="Q7" s="3">
        <v>5.7</v>
      </c>
      <c r="R7" s="3"/>
      <c r="S7" s="5">
        <f>IF($Q7="","",ROUND($Q7/Summary!$B$3*100,1))</f>
        <v>42.2</v>
      </c>
      <c r="T7" s="5" t="str">
        <f t="shared" si="2"/>
        <v>HEALTHY</v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>
        <v>5.5</v>
      </c>
      <c r="D8" s="3"/>
      <c r="E8" s="5">
        <f>IF($C8="","",ROUND($C8/Summary!$B$3*100,1))</f>
        <v>40.700000000000003</v>
      </c>
      <c r="F8" s="5" t="str">
        <f t="shared" si="0"/>
        <v>HEALTHY</v>
      </c>
      <c r="H8">
        <v>3</v>
      </c>
      <c r="I8" s="7" t="s">
        <v>22</v>
      </c>
      <c r="J8" s="3">
        <v>5.8</v>
      </c>
      <c r="K8" s="3"/>
      <c r="L8" s="5">
        <f>IF($J8="","",ROUND($J8/Summary!$B$3*100,1))</f>
        <v>43</v>
      </c>
      <c r="M8" s="5" t="str">
        <f t="shared" si="1"/>
        <v>HEALTHY</v>
      </c>
      <c r="O8">
        <v>3</v>
      </c>
      <c r="P8" s="7" t="s">
        <v>23</v>
      </c>
      <c r="Q8" s="3">
        <v>5.5</v>
      </c>
      <c r="R8" s="3"/>
      <c r="S8" s="5">
        <f>IF($Q8="","",ROUND($Q8/Summary!$B$3*100,1))</f>
        <v>40.700000000000003</v>
      </c>
      <c r="T8" s="5" t="str">
        <f t="shared" si="2"/>
        <v>HEALTHY</v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>
        <v>5.4</v>
      </c>
      <c r="D9" s="3"/>
      <c r="E9" s="5">
        <f>IF($C9="","",ROUND($C9/Summary!$B$3*100,1))</f>
        <v>40</v>
      </c>
      <c r="F9" s="5" t="str">
        <f t="shared" si="0"/>
        <v>HEALTHY</v>
      </c>
      <c r="H9">
        <v>4</v>
      </c>
      <c r="I9" s="7" t="s">
        <v>25</v>
      </c>
      <c r="J9" s="3">
        <v>5.7</v>
      </c>
      <c r="K9" s="3"/>
      <c r="L9" s="5">
        <f>IF($J9="","",ROUND($J9/Summary!$B$3*100,1))</f>
        <v>42.2</v>
      </c>
      <c r="M9" s="5" t="str">
        <f t="shared" si="1"/>
        <v>HEALTHY</v>
      </c>
      <c r="O9">
        <v>4</v>
      </c>
      <c r="P9" s="7" t="s">
        <v>26</v>
      </c>
      <c r="Q9" s="3">
        <v>5.5</v>
      </c>
      <c r="R9" s="3"/>
      <c r="S9" s="5">
        <f>IF($Q9="","",ROUND($Q9/Summary!$B$3*100,1))</f>
        <v>40.700000000000003</v>
      </c>
      <c r="T9" s="5" t="str">
        <f t="shared" si="2"/>
        <v>HEALTHY</v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>
        <v>5.5</v>
      </c>
      <c r="D10" s="3"/>
      <c r="E10" s="5">
        <f>IF($C10="","",ROUND($C10/Summary!$B$3*100,1))</f>
        <v>40.700000000000003</v>
      </c>
      <c r="F10" s="5" t="str">
        <f t="shared" si="0"/>
        <v>HEALTHY</v>
      </c>
      <c r="H10">
        <v>5</v>
      </c>
      <c r="I10" s="7" t="s">
        <v>18</v>
      </c>
      <c r="J10" s="3">
        <v>5.7</v>
      </c>
      <c r="K10" s="3"/>
      <c r="L10" s="5">
        <f>IF($J10="","",ROUND($J10/Summary!$B$3*100,1))</f>
        <v>42.2</v>
      </c>
      <c r="M10" s="5" t="str">
        <f t="shared" si="1"/>
        <v>HEALTHY</v>
      </c>
      <c r="O10">
        <v>5</v>
      </c>
      <c r="P10" s="7" t="s">
        <v>28</v>
      </c>
      <c r="Q10" s="3">
        <v>6.5</v>
      </c>
      <c r="R10" s="3"/>
      <c r="S10" s="5">
        <f>IF($Q10="","",ROUND($Q10/Summary!$B$3*100,1))</f>
        <v>48.1</v>
      </c>
      <c r="T10" s="5" t="str">
        <f t="shared" si="2"/>
        <v>HEALTHY</v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>
        <v>5.5</v>
      </c>
      <c r="D11" s="3"/>
      <c r="E11" s="5">
        <f>IF($C11="","",ROUND($C11/Summary!$B$3*100,1))</f>
        <v>40.700000000000003</v>
      </c>
      <c r="F11" s="5" t="str">
        <f t="shared" si="0"/>
        <v>HEALTHY</v>
      </c>
      <c r="H11">
        <v>6</v>
      </c>
      <c r="I11" s="7" t="s">
        <v>30</v>
      </c>
      <c r="J11" s="3">
        <v>5.4</v>
      </c>
      <c r="K11" s="3"/>
      <c r="L11" s="5">
        <f>IF($J11="","",ROUND($J11/Summary!$B$3*100,1))</f>
        <v>40</v>
      </c>
      <c r="M11" s="5" t="str">
        <f t="shared" si="1"/>
        <v>HEALTHY</v>
      </c>
      <c r="O11">
        <v>6</v>
      </c>
      <c r="P11" s="7" t="s">
        <v>31</v>
      </c>
      <c r="Q11" s="3">
        <v>7.2</v>
      </c>
      <c r="R11" s="3"/>
      <c r="S11" s="5">
        <f>IF($Q11="","",ROUND($Q11/Summary!$B$3*100,1))</f>
        <v>53.3</v>
      </c>
      <c r="T11" s="5" t="str">
        <f t="shared" si="2"/>
        <v>HEALTHY</v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>
        <v>5.7</v>
      </c>
      <c r="D12" s="3"/>
      <c r="E12" s="5">
        <f>IF($C12="","",ROUND($C12/Summary!$B$3*100,1))</f>
        <v>42.2</v>
      </c>
      <c r="F12" s="5" t="str">
        <f t="shared" si="0"/>
        <v>HEALTHY</v>
      </c>
      <c r="H12">
        <v>7</v>
      </c>
      <c r="I12" s="7" t="s">
        <v>33</v>
      </c>
      <c r="J12" s="3">
        <v>5.9</v>
      </c>
      <c r="K12" s="3"/>
      <c r="L12" s="5">
        <f>IF($J12="","",ROUND($J12/Summary!$B$3*100,1))</f>
        <v>43.7</v>
      </c>
      <c r="M12" s="5" t="str">
        <f t="shared" si="1"/>
        <v>HEALTHY</v>
      </c>
      <c r="O12">
        <v>7</v>
      </c>
      <c r="P12" s="7" t="s">
        <v>34</v>
      </c>
      <c r="Q12" s="3">
        <v>7.4</v>
      </c>
      <c r="R12" s="3"/>
      <c r="S12" s="5">
        <f>IF($Q12="","",ROUND($Q12/Summary!$B$3*100,1))</f>
        <v>54.8</v>
      </c>
      <c r="T12" s="5" t="str">
        <f t="shared" si="2"/>
        <v>HEALTHY</v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>
        <v>5.5</v>
      </c>
      <c r="D13" s="3"/>
      <c r="E13" s="5">
        <f>IF($C13="","",ROUND($C13/Summary!$B$3*100,1))</f>
        <v>40.700000000000003</v>
      </c>
      <c r="F13" s="5" t="str">
        <f t="shared" si="0"/>
        <v>HEALTHY</v>
      </c>
      <c r="H13">
        <v>8</v>
      </c>
      <c r="I13" s="7" t="s">
        <v>36</v>
      </c>
      <c r="J13" s="3">
        <v>5.8</v>
      </c>
      <c r="K13" s="3"/>
      <c r="L13" s="5">
        <f>IF($J13="","",ROUND($J13/Summary!$B$3*100,1))</f>
        <v>43</v>
      </c>
      <c r="M13" s="5" t="str">
        <f t="shared" si="1"/>
        <v>HEALTHY</v>
      </c>
      <c r="O13">
        <v>8</v>
      </c>
      <c r="P13" s="7" t="s">
        <v>37</v>
      </c>
      <c r="Q13" s="3">
        <v>8.4</v>
      </c>
      <c r="R13" s="3"/>
      <c r="S13" s="5">
        <f>IF($Q13="","",ROUND($Q13/Summary!$B$3*100,1))</f>
        <v>62.2</v>
      </c>
      <c r="T13" s="5" t="str">
        <f t="shared" si="2"/>
        <v>SUPERSAT</v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>
        <v>5.5</v>
      </c>
      <c r="D14" s="3"/>
      <c r="E14" s="5">
        <f>IF($C14="","",ROUND($C14/Summary!$B$3*100,1))</f>
        <v>40.700000000000003</v>
      </c>
      <c r="F14" s="5" t="str">
        <f t="shared" si="0"/>
        <v>HEALTHY</v>
      </c>
      <c r="H14">
        <v>9</v>
      </c>
      <c r="I14" s="7" t="s">
        <v>21</v>
      </c>
      <c r="J14" s="3">
        <v>5.8</v>
      </c>
      <c r="K14" s="3"/>
      <c r="L14" s="5">
        <f>IF($J14="","",ROUND($J14/Summary!$B$3*100,1))</f>
        <v>43</v>
      </c>
      <c r="M14" s="5" t="str">
        <f t="shared" si="1"/>
        <v>HEALTHY</v>
      </c>
      <c r="O14">
        <v>9</v>
      </c>
      <c r="P14" s="7" t="s">
        <v>39</v>
      </c>
      <c r="Q14" s="3">
        <v>10.199999999999999</v>
      </c>
      <c r="R14" s="3"/>
      <c r="S14" s="5">
        <f>IF($Q14="","",ROUND($Q14/Summary!$B$3*100,1))</f>
        <v>75.599999999999994</v>
      </c>
      <c r="T14" s="5" t="str">
        <f t="shared" si="2"/>
        <v>SUPERSAT</v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>
        <v>5.3</v>
      </c>
      <c r="D15" s="3"/>
      <c r="E15" s="5">
        <f>IF($C15="","",ROUND($C15/Summary!$B$3*100,1))</f>
        <v>39.299999999999997</v>
      </c>
      <c r="F15" s="5" t="str">
        <f t="shared" si="0"/>
        <v>HEALTHY</v>
      </c>
      <c r="H15">
        <v>10</v>
      </c>
      <c r="I15" s="7" t="s">
        <v>41</v>
      </c>
      <c r="J15" s="3">
        <v>5.7</v>
      </c>
      <c r="K15" s="3"/>
      <c r="L15" s="5">
        <f>IF($J15="","",ROUND($J15/Summary!$B$3*100,1))</f>
        <v>42.2</v>
      </c>
      <c r="M15" s="5" t="str">
        <f t="shared" si="1"/>
        <v>HEALTHY</v>
      </c>
      <c r="O15">
        <v>10</v>
      </c>
      <c r="P15" s="7" t="s">
        <v>42</v>
      </c>
      <c r="Q15" s="3">
        <v>9.3000000000000007</v>
      </c>
      <c r="R15" s="3"/>
      <c r="S15" s="5">
        <f>IF($Q15="","",ROUND($Q15/Summary!$B$3*100,1))</f>
        <v>68.900000000000006</v>
      </c>
      <c r="T15" s="5" t="str">
        <f t="shared" si="2"/>
        <v>SUPERSAT</v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>
        <v>5.5</v>
      </c>
      <c r="D16" s="3"/>
      <c r="E16" s="5">
        <f>IF($C16="","",ROUND($C16/Summary!$B$3*100,1))</f>
        <v>40.700000000000003</v>
      </c>
      <c r="F16" s="5" t="str">
        <f t="shared" si="0"/>
        <v>HEALTHY</v>
      </c>
      <c r="H16">
        <v>11</v>
      </c>
      <c r="I16" s="7" t="s">
        <v>44</v>
      </c>
      <c r="J16" s="3">
        <v>5.7</v>
      </c>
      <c r="K16" s="3"/>
      <c r="L16" s="5">
        <f>IF($J16="","",ROUND($J16/Summary!$B$3*100,1))</f>
        <v>42.2</v>
      </c>
      <c r="M16" s="5" t="str">
        <f t="shared" si="1"/>
        <v>HEALTHY</v>
      </c>
      <c r="O16">
        <v>11</v>
      </c>
      <c r="P16" s="7" t="s">
        <v>45</v>
      </c>
      <c r="Q16" s="10">
        <v>8.3000000000000007</v>
      </c>
      <c r="R16" s="3"/>
      <c r="S16" s="5">
        <f>IF($Q16="","",ROUND($Q16/Summary!$B$3*100,1))</f>
        <v>61.5</v>
      </c>
      <c r="T16" s="5" t="str">
        <f t="shared" si="2"/>
        <v>SUPERSAT</v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>
        <v>5.4</v>
      </c>
      <c r="D17" s="3"/>
      <c r="E17" s="5">
        <f>IF($C17="","",ROUND($C17/Summary!$B$3*100,1))</f>
        <v>40</v>
      </c>
      <c r="F17" s="5" t="str">
        <f t="shared" si="0"/>
        <v>HEALTHY</v>
      </c>
      <c r="H17">
        <v>12</v>
      </c>
      <c r="I17" s="7" t="s">
        <v>47</v>
      </c>
      <c r="J17" s="3">
        <v>5.4</v>
      </c>
      <c r="K17" s="3"/>
      <c r="L17" s="5">
        <f>IF($J17="","",ROUND($J17/Summary!$B$3*100,1))</f>
        <v>40</v>
      </c>
      <c r="M17" s="5" t="str">
        <f t="shared" si="1"/>
        <v>HEALTHY</v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>
        <v>5.5</v>
      </c>
      <c r="D18" s="3"/>
      <c r="E18" s="5">
        <f>IF($C18="","",ROUND($C18/Summary!$B$3*100,1))</f>
        <v>40.700000000000003</v>
      </c>
      <c r="F18" s="5" t="str">
        <f t="shared" si="0"/>
        <v>HEALTHY</v>
      </c>
      <c r="H18">
        <v>13</v>
      </c>
      <c r="I18" s="7" t="s">
        <v>24</v>
      </c>
      <c r="J18" s="3">
        <v>5.3</v>
      </c>
      <c r="K18" s="3"/>
      <c r="L18" s="5">
        <f>IF($J18="","",ROUND($J18/Summary!$B$3*100,1))</f>
        <v>39.299999999999997</v>
      </c>
      <c r="M18" s="5" t="str">
        <f t="shared" si="1"/>
        <v>HEALTHY</v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>
        <v>5.6</v>
      </c>
      <c r="D19" s="3"/>
      <c r="E19" s="5">
        <f>IF($C19="","",ROUND($C19/Summary!$B$3*100,1))</f>
        <v>41.5</v>
      </c>
      <c r="F19" s="5" t="str">
        <f t="shared" si="0"/>
        <v>HEALTHY</v>
      </c>
      <c r="H19">
        <v>14</v>
      </c>
      <c r="I19" s="7" t="s">
        <v>51</v>
      </c>
      <c r="J19" s="3">
        <v>5.3</v>
      </c>
      <c r="K19" s="3"/>
      <c r="L19" s="5">
        <f>IF($J19="","",ROUND($J19/Summary!$B$3*100,1))</f>
        <v>39.299999999999997</v>
      </c>
      <c r="M19" s="5" t="str">
        <f t="shared" si="1"/>
        <v>HEALTHY</v>
      </c>
      <c r="P19" s="8" t="s">
        <v>52</v>
      </c>
      <c r="Q19" s="5">
        <f>COUNT(Q6:Q16)</f>
        <v>11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>
        <v>5.5</v>
      </c>
      <c r="D20" s="3"/>
      <c r="E20" s="5">
        <f>IF($C20="","",ROUND($C20/Summary!$B$3*100,1))</f>
        <v>40.700000000000003</v>
      </c>
      <c r="F20" s="5" t="str">
        <f t="shared" si="0"/>
        <v>HEALTHY</v>
      </c>
      <c r="H20">
        <v>15</v>
      </c>
      <c r="I20" s="7" t="s">
        <v>54</v>
      </c>
      <c r="J20" s="3">
        <v>5.6</v>
      </c>
      <c r="K20" s="3"/>
      <c r="L20" s="5">
        <f>IF($J20="","",ROUND($J20/Summary!$B$3*100,1))</f>
        <v>41.5</v>
      </c>
      <c r="M20" s="5" t="str">
        <f t="shared" si="1"/>
        <v>HEALTHY</v>
      </c>
      <c r="P20" s="8" t="s">
        <v>55</v>
      </c>
      <c r="Q20" s="5">
        <f>IFERROR(AVERAGE(Q6:Q16),"")</f>
        <v>7.1909090909090905</v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>
        <v>5.5</v>
      </c>
      <c r="D21" s="3"/>
      <c r="E21" s="5">
        <f>IF($C21="","",ROUND($C21/Summary!$B$3*100,1))</f>
        <v>40.700000000000003</v>
      </c>
      <c r="F21" s="5" t="str">
        <f t="shared" si="0"/>
        <v>HEALTHY</v>
      </c>
      <c r="H21">
        <v>16</v>
      </c>
      <c r="I21" s="7" t="s">
        <v>57</v>
      </c>
      <c r="J21" s="3">
        <v>5.4</v>
      </c>
      <c r="K21" s="3"/>
      <c r="L21" s="5">
        <f>IF($J21="","",ROUND($J21/Summary!$B$3*100,1))</f>
        <v>40</v>
      </c>
      <c r="M21" s="5" t="str">
        <f t="shared" si="1"/>
        <v>HEALTHY</v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>
        <v>5.5</v>
      </c>
      <c r="D22" s="3"/>
      <c r="E22" s="5">
        <f>IF($C22="","",ROUND($C22/Summary!$B$3*100,1))</f>
        <v>40.700000000000003</v>
      </c>
      <c r="F22" s="5" t="str">
        <f t="shared" si="0"/>
        <v>HEALTHY</v>
      </c>
      <c r="H22">
        <v>17</v>
      </c>
      <c r="I22" s="7" t="s">
        <v>27</v>
      </c>
      <c r="J22" s="3">
        <v>5.7</v>
      </c>
      <c r="K22" s="3"/>
      <c r="L22" s="5">
        <f>IF($J22="","",ROUND($J22/Summary!$B$3*100,1))</f>
        <v>42.2</v>
      </c>
      <c r="M22" s="5" t="str">
        <f t="shared" si="1"/>
        <v>HEALTHY</v>
      </c>
      <c r="P22" s="8" t="s">
        <v>60</v>
      </c>
      <c r="Q22" s="5">
        <f>IFERROR(MIN(Q6:Q16),"")</f>
        <v>5.0999999999999996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>
        <v>5.5</v>
      </c>
      <c r="D23" s="3"/>
      <c r="E23" s="5">
        <f>IF($C23="","",ROUND($C23/Summary!$B$3*100,1))</f>
        <v>40.700000000000003</v>
      </c>
      <c r="F23" s="5" t="str">
        <f t="shared" si="0"/>
        <v>HEALTHY</v>
      </c>
      <c r="H23">
        <v>18</v>
      </c>
      <c r="I23" s="7" t="s">
        <v>62</v>
      </c>
      <c r="J23" s="3">
        <v>5.7</v>
      </c>
      <c r="K23" s="3"/>
      <c r="L23" s="5">
        <f>IF($J23="","",ROUND($J23/Summary!$B$3*100,1))</f>
        <v>42.2</v>
      </c>
      <c r="M23" s="5" t="str">
        <f t="shared" si="1"/>
        <v>HEALTHY</v>
      </c>
      <c r="P23" s="8" t="s">
        <v>63</v>
      </c>
      <c r="Q23" s="5">
        <f>IFERROR(MAX(Q6:Q16),"")</f>
        <v>10.199999999999999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>
        <v>5.7</v>
      </c>
      <c r="D24" s="3"/>
      <c r="E24" s="5">
        <f>IF($C24="","",ROUND($C24/Summary!$B$3*100,1))</f>
        <v>42.2</v>
      </c>
      <c r="F24" s="5" t="str">
        <f t="shared" si="0"/>
        <v>HEALTHY</v>
      </c>
      <c r="H24">
        <v>19</v>
      </c>
      <c r="I24" s="7" t="s">
        <v>65</v>
      </c>
      <c r="J24" s="3">
        <v>5.8</v>
      </c>
      <c r="K24" s="3"/>
      <c r="L24" s="5">
        <f>IF($J24="","",ROUND($J24/Summary!$B$3*100,1))</f>
        <v>43</v>
      </c>
      <c r="M24" s="5" t="str">
        <f t="shared" si="1"/>
        <v>HEALTHY</v>
      </c>
      <c r="P24" s="8" t="s">
        <v>66</v>
      </c>
      <c r="Q24" s="5">
        <f>IF(COUNT(Q6:Q16)=0,"",MAX(Q6:Q16)-MIN(Q6:Q16))</f>
        <v>5.0999999999999996</v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>
        <v>5.8</v>
      </c>
      <c r="D25" s="3"/>
      <c r="E25" s="5">
        <f>IF($C25="","",ROUND($C25/Summary!$B$3*100,1))</f>
        <v>43</v>
      </c>
      <c r="F25" s="5" t="str">
        <f t="shared" si="0"/>
        <v>HEALTHY</v>
      </c>
      <c r="H25">
        <v>20</v>
      </c>
      <c r="I25" s="7" t="s">
        <v>68</v>
      </c>
      <c r="J25" s="3">
        <v>5.9</v>
      </c>
      <c r="K25" s="3"/>
      <c r="L25" s="5">
        <f>IF($J25="","",ROUND($J25/Summary!$B$3*100,1))</f>
        <v>43.7</v>
      </c>
      <c r="M25" s="5" t="str">
        <f t="shared" si="1"/>
        <v>HEALTHY</v>
      </c>
      <c r="P25" s="8" t="s">
        <v>69</v>
      </c>
      <c r="Q25" s="5">
        <f>IFERROR(AVERAGE(S6:S16),"")</f>
        <v>53.25454545454545</v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>
        <v>5.6</v>
      </c>
      <c r="D26" s="3"/>
      <c r="E26" s="5">
        <f>IF($C26="","",ROUND($C26/Summary!$B$3*100,1))</f>
        <v>41.5</v>
      </c>
      <c r="F26" s="5" t="str">
        <f t="shared" si="0"/>
        <v>HEALTHY</v>
      </c>
      <c r="H26">
        <v>21</v>
      </c>
      <c r="I26" s="7" t="s">
        <v>29</v>
      </c>
      <c r="J26" s="3">
        <v>5.7</v>
      </c>
      <c r="K26" s="3"/>
      <c r="L26" s="5">
        <f>IF($J26="","",ROUND($J26/Summary!$B$3*100,1))</f>
        <v>42.2</v>
      </c>
      <c r="M26" s="5" t="str">
        <f t="shared" si="1"/>
        <v>HEALTHY</v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>
        <v>5.6</v>
      </c>
      <c r="D27" s="3"/>
      <c r="E27" s="5">
        <f>IF($C27="","",ROUND($C27/Summary!$B$3*100,1))</f>
        <v>41.5</v>
      </c>
      <c r="F27" s="5" t="str">
        <f t="shared" si="0"/>
        <v>HEALTHY</v>
      </c>
      <c r="H27">
        <v>22</v>
      </c>
      <c r="I27" s="7" t="s">
        <v>72</v>
      </c>
      <c r="J27" s="3">
        <v>5.6</v>
      </c>
      <c r="K27" s="3"/>
      <c r="L27" s="5">
        <f>IF($J27="","",ROUND($J27/Summary!$B$3*100,1))</f>
        <v>41.5</v>
      </c>
      <c r="M27" s="5" t="str">
        <f t="shared" si="1"/>
        <v>HEALTHY</v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>
        <v>5.8</v>
      </c>
      <c r="D28" s="3"/>
      <c r="E28" s="5">
        <f>IF($C28="","",ROUND($C28/Summary!$B$3*100,1))</f>
        <v>43</v>
      </c>
      <c r="F28" s="5" t="str">
        <f t="shared" si="0"/>
        <v>HEALTHY</v>
      </c>
      <c r="H28">
        <v>23</v>
      </c>
      <c r="I28" s="7" t="s">
        <v>74</v>
      </c>
      <c r="J28" s="3">
        <v>5.6</v>
      </c>
      <c r="K28" s="3"/>
      <c r="L28" s="5">
        <f>IF($J28="","",ROUND($J28/Summary!$B$3*100,1))</f>
        <v>41.5</v>
      </c>
      <c r="M28" s="5" t="str">
        <f t="shared" si="1"/>
        <v>HEALTHY</v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>
        <v>5.5</v>
      </c>
      <c r="D29" s="3"/>
      <c r="E29" s="5">
        <f>IF($C29="","",ROUND($C29/Summary!$B$3*100,1))</f>
        <v>40.700000000000003</v>
      </c>
      <c r="F29" s="5" t="str">
        <f t="shared" si="0"/>
        <v>HEALTHY</v>
      </c>
      <c r="H29">
        <v>24</v>
      </c>
      <c r="I29" s="7" t="s">
        <v>76</v>
      </c>
      <c r="J29" s="3">
        <v>5.9</v>
      </c>
      <c r="K29" s="3"/>
      <c r="L29" s="5">
        <f>IF($J29="","",ROUND($J29/Summary!$B$3*100,1))</f>
        <v>43.7</v>
      </c>
      <c r="M29" s="5" t="str">
        <f t="shared" si="1"/>
        <v>HEALTHY</v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>
        <v>5.8</v>
      </c>
      <c r="D30" s="3"/>
      <c r="E30" s="5">
        <f>IF($C30="","",ROUND($C30/Summary!$B$3*100,1))</f>
        <v>43</v>
      </c>
      <c r="F30" s="5" t="str">
        <f t="shared" si="0"/>
        <v>HEALTHY</v>
      </c>
      <c r="H30">
        <v>25</v>
      </c>
      <c r="I30" s="7" t="s">
        <v>32</v>
      </c>
      <c r="J30" s="3">
        <v>5.5</v>
      </c>
      <c r="K30" s="3"/>
      <c r="L30" s="5">
        <f>IF($J30="","",ROUND($J30/Summary!$B$3*100,1))</f>
        <v>40.700000000000003</v>
      </c>
      <c r="M30" s="5" t="str">
        <f t="shared" si="1"/>
        <v>HEALTHY</v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>
        <v>5.9</v>
      </c>
      <c r="D31" s="3"/>
      <c r="E31" s="5">
        <f>IF($C31="","",ROUND($C31/Summary!$B$3*100,1))</f>
        <v>43.7</v>
      </c>
      <c r="F31" s="5" t="str">
        <f t="shared" si="0"/>
        <v>HEALTHY</v>
      </c>
      <c r="H31">
        <v>26</v>
      </c>
      <c r="I31" s="7" t="s">
        <v>79</v>
      </c>
      <c r="J31" s="3">
        <v>5.7</v>
      </c>
      <c r="K31" s="3"/>
      <c r="L31" s="5">
        <f>IF($J31="","",ROUND($J31/Summary!$B$3*100,1))</f>
        <v>42.2</v>
      </c>
      <c r="M31" s="5" t="str">
        <f t="shared" si="1"/>
        <v>HEALTHY</v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>
        <v>5.4</v>
      </c>
      <c r="D32" s="3"/>
      <c r="E32" s="5">
        <f>IF($C32="","",ROUND($C32/Summary!$B$3*100,1))</f>
        <v>40</v>
      </c>
      <c r="F32" s="5" t="str">
        <f t="shared" si="0"/>
        <v>HEALTHY</v>
      </c>
      <c r="H32">
        <v>27</v>
      </c>
      <c r="I32" s="7" t="s">
        <v>81</v>
      </c>
      <c r="J32" s="3">
        <v>5.7</v>
      </c>
      <c r="K32" s="3"/>
      <c r="L32" s="5">
        <f>IF($J32="","",ROUND($J32/Summary!$B$3*100,1))</f>
        <v>42.2</v>
      </c>
      <c r="M32" s="5" t="str">
        <f t="shared" si="1"/>
        <v>HEALTHY</v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>
        <v>5.8</v>
      </c>
      <c r="D33" s="3"/>
      <c r="E33" s="5">
        <f>IF($C33="","",ROUND($C33/Summary!$B$3*100,1))</f>
        <v>43</v>
      </c>
      <c r="F33" s="5" t="str">
        <f t="shared" si="0"/>
        <v>HEALTHY</v>
      </c>
      <c r="H33">
        <v>28</v>
      </c>
      <c r="I33" s="7" t="s">
        <v>83</v>
      </c>
      <c r="J33" s="3">
        <v>5.7</v>
      </c>
      <c r="K33" s="3"/>
      <c r="L33" s="5">
        <f>IF($J33="","",ROUND($J33/Summary!$B$3*100,1))</f>
        <v>42.2</v>
      </c>
      <c r="M33" s="5" t="str">
        <f t="shared" si="1"/>
        <v>HEALTHY</v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>
        <v>5.5</v>
      </c>
      <c r="D34" s="3"/>
      <c r="E34" s="5">
        <f>IF($C34="","",ROUND($C34/Summary!$B$3*100,1))</f>
        <v>40.700000000000003</v>
      </c>
      <c r="F34" s="5" t="str">
        <f t="shared" si="0"/>
        <v>HEALTHY</v>
      </c>
      <c r="H34">
        <v>29</v>
      </c>
      <c r="I34" s="7" t="s">
        <v>35</v>
      </c>
      <c r="J34" s="3">
        <v>5.7</v>
      </c>
      <c r="K34" s="3"/>
      <c r="L34" s="5">
        <f>IF($J34="","",ROUND($J34/Summary!$B$3*100,1))</f>
        <v>42.2</v>
      </c>
      <c r="M34" s="5" t="str">
        <f t="shared" si="1"/>
        <v>HEALTHY</v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3">
        <v>5.5</v>
      </c>
      <c r="D35" s="3"/>
      <c r="E35" s="5">
        <f>IF($C35="","",ROUND($C35/Summary!$B$3*100,1))</f>
        <v>40.700000000000003</v>
      </c>
      <c r="F35" s="5" t="str">
        <f t="shared" si="0"/>
        <v>HEALTHY</v>
      </c>
      <c r="H35">
        <v>30</v>
      </c>
      <c r="I35" s="7" t="s">
        <v>86</v>
      </c>
      <c r="J35" s="3">
        <v>5.9</v>
      </c>
      <c r="K35" s="3"/>
      <c r="L35" s="5">
        <f>IF($J35="","",ROUND($J35/Summary!$B$3*100,1))</f>
        <v>43.7</v>
      </c>
      <c r="M35" s="5" t="str">
        <f t="shared" si="1"/>
        <v>HEALTHY</v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>
        <v>5.8</v>
      </c>
      <c r="D36" s="3"/>
      <c r="E36" s="5">
        <f>IF($C36="","",ROUND($C36/Summary!$B$3*100,1))</f>
        <v>43</v>
      </c>
      <c r="F36" s="5" t="str">
        <f t="shared" si="0"/>
        <v>HEALTHY</v>
      </c>
      <c r="H36">
        <v>31</v>
      </c>
      <c r="I36" s="7" t="s">
        <v>88</v>
      </c>
      <c r="J36" s="3">
        <v>5.4</v>
      </c>
      <c r="K36" s="3"/>
      <c r="L36" s="5">
        <f>IF($J36="","",ROUND($J36/Summary!$B$3*100,1))</f>
        <v>40</v>
      </c>
      <c r="M36" s="5" t="str">
        <f t="shared" si="1"/>
        <v>HEALTHY</v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>
        <v>5.4</v>
      </c>
      <c r="D37" s="3"/>
      <c r="E37" s="5">
        <f>IF($C37="","",ROUND($C37/Summary!$B$3*100,1))</f>
        <v>40</v>
      </c>
      <c r="F37" s="5" t="str">
        <f t="shared" si="0"/>
        <v>HEALTHY</v>
      </c>
      <c r="H37">
        <v>32</v>
      </c>
      <c r="I37" s="7" t="s">
        <v>90</v>
      </c>
      <c r="J37" s="3">
        <v>5.7</v>
      </c>
      <c r="K37" s="3"/>
      <c r="L37" s="5">
        <f>IF($J37="","",ROUND($J37/Summary!$B$3*100,1))</f>
        <v>42.2</v>
      </c>
      <c r="M37" s="5" t="str">
        <f t="shared" si="1"/>
        <v>HEALTHY</v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>
        <v>5.5</v>
      </c>
      <c r="D38" s="3"/>
      <c r="E38" s="5">
        <f>IF($C38="","",ROUND($C38/Summary!$B$3*100,1))</f>
        <v>40.700000000000003</v>
      </c>
      <c r="F38" s="5" t="str">
        <f t="shared" ref="F38:F55" si="4">IF($C38="","",IF($C38&lt;2,"LETHAL",IF($C38&lt;4,"CRITICAL",IF($C38&lt;5,"LOW",IF($C38&lt;=8,"HEALTHY","SUPERSAT")))))</f>
        <v>HEALTHY</v>
      </c>
      <c r="H38">
        <v>33</v>
      </c>
      <c r="I38" s="7" t="s">
        <v>38</v>
      </c>
      <c r="J38" s="3">
        <v>5.7</v>
      </c>
      <c r="K38" s="3"/>
      <c r="L38" s="5">
        <f>IF($J38="","",ROUND($J38/Summary!$B$3*100,1))</f>
        <v>42.2</v>
      </c>
      <c r="M38" s="5" t="str">
        <f t="shared" ref="M38:M55" si="5">IF($J38="","",IF($J38&lt;2,"LETHAL",IF($J38&lt;4,"CRITICAL",IF($J38&lt;5,"LOW",IF($J38&lt;=8,"HEALTHY","SUPERSAT")))))</f>
        <v>HEALTHY</v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>
        <v>5.5</v>
      </c>
      <c r="D39" s="3"/>
      <c r="E39" s="5">
        <f>IF($C39="","",ROUND($C39/Summary!$B$3*100,1))</f>
        <v>40.700000000000003</v>
      </c>
      <c r="F39" s="5" t="str">
        <f t="shared" si="4"/>
        <v>HEALTHY</v>
      </c>
      <c r="H39">
        <v>34</v>
      </c>
      <c r="I39" s="7" t="s">
        <v>93</v>
      </c>
      <c r="J39" s="3">
        <v>6.2</v>
      </c>
      <c r="K39" s="3"/>
      <c r="L39" s="5">
        <f>IF($J39="","",ROUND($J39/Summary!$B$3*100,1))</f>
        <v>45.9</v>
      </c>
      <c r="M39" s="5" t="str">
        <f t="shared" si="5"/>
        <v>HEALTHY</v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>
        <v>5.8</v>
      </c>
      <c r="D40" s="3"/>
      <c r="E40" s="5">
        <f>IF($C40="","",ROUND($C40/Summary!$B$3*100,1))</f>
        <v>43</v>
      </c>
      <c r="F40" s="5" t="str">
        <f t="shared" si="4"/>
        <v>HEALTHY</v>
      </c>
      <c r="H40">
        <v>35</v>
      </c>
      <c r="I40" s="7" t="s">
        <v>95</v>
      </c>
      <c r="J40" s="3">
        <v>6.6</v>
      </c>
      <c r="K40" s="3"/>
      <c r="L40" s="5">
        <f>IF($J40="","",ROUND($J40/Summary!$B$3*100,1))</f>
        <v>48.9</v>
      </c>
      <c r="M40" s="5" t="str">
        <f t="shared" si="5"/>
        <v>HEALTHY</v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>
        <v>5.5</v>
      </c>
      <c r="D41" s="3"/>
      <c r="E41" s="5">
        <f>IF($C41="","",ROUND($C41/Summary!$B$3*100,1))</f>
        <v>40.700000000000003</v>
      </c>
      <c r="F41" s="5" t="str">
        <f t="shared" si="4"/>
        <v>HEALTHY</v>
      </c>
      <c r="H41">
        <v>36</v>
      </c>
      <c r="I41" s="7" t="s">
        <v>97</v>
      </c>
      <c r="J41" s="3">
        <v>6.2</v>
      </c>
      <c r="K41" s="3"/>
      <c r="L41" s="5">
        <f>IF($J41="","",ROUND($J41/Summary!$B$3*100,1))</f>
        <v>45.9</v>
      </c>
      <c r="M41" s="5" t="str">
        <f t="shared" si="5"/>
        <v>HEALTHY</v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>
        <v>5.4</v>
      </c>
      <c r="D42" s="3"/>
      <c r="E42" s="5">
        <f>IF($C42="","",ROUND($C42/Summary!$B$3*100,1))</f>
        <v>40</v>
      </c>
      <c r="F42" s="5" t="str">
        <f t="shared" si="4"/>
        <v>HEALTHY</v>
      </c>
      <c r="H42">
        <v>37</v>
      </c>
      <c r="I42" s="7" t="s">
        <v>40</v>
      </c>
      <c r="J42" s="3">
        <v>5.5</v>
      </c>
      <c r="K42" s="3"/>
      <c r="L42" s="5">
        <f>IF($J42="","",ROUND($J42/Summary!$B$3*100,1))</f>
        <v>40.700000000000003</v>
      </c>
      <c r="M42" s="5" t="str">
        <f t="shared" si="5"/>
        <v>HEALTHY</v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>
        <v>5.7</v>
      </c>
      <c r="D43" s="3"/>
      <c r="E43" s="5">
        <f>IF($C43="","",ROUND($C43/Summary!$B$3*100,1))</f>
        <v>42.2</v>
      </c>
      <c r="F43" s="5" t="str">
        <f t="shared" si="4"/>
        <v>HEALTHY</v>
      </c>
      <c r="H43">
        <v>38</v>
      </c>
      <c r="I43" s="7" t="s">
        <v>100</v>
      </c>
      <c r="J43" s="3">
        <v>6.5</v>
      </c>
      <c r="K43" s="3"/>
      <c r="L43" s="5">
        <f>IF($J43="","",ROUND($J43/Summary!$B$3*100,1))</f>
        <v>48.1</v>
      </c>
      <c r="M43" s="5" t="str">
        <f t="shared" si="5"/>
        <v>HEALTHY</v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>
        <v>5.5</v>
      </c>
      <c r="D44" s="3"/>
      <c r="E44" s="5">
        <f>IF($C44="","",ROUND($C44/Summary!$B$3*100,1))</f>
        <v>40.700000000000003</v>
      </c>
      <c r="F44" s="5" t="str">
        <f t="shared" si="4"/>
        <v>HEALTHY</v>
      </c>
      <c r="H44">
        <v>39</v>
      </c>
      <c r="I44" s="7" t="s">
        <v>102</v>
      </c>
      <c r="J44" s="3">
        <v>6.9</v>
      </c>
      <c r="K44" s="3"/>
      <c r="L44" s="5">
        <f>IF($J44="","",ROUND($J44/Summary!$B$3*100,1))</f>
        <v>51.1</v>
      </c>
      <c r="M44" s="5" t="str">
        <f t="shared" si="5"/>
        <v>HEALTHY</v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>
        <v>5.5</v>
      </c>
      <c r="D45" s="3"/>
      <c r="E45" s="5">
        <f>IF($C45="","",ROUND($C45/Summary!$B$3*100,1))</f>
        <v>40.700000000000003</v>
      </c>
      <c r="F45" s="5" t="str">
        <f t="shared" si="4"/>
        <v>HEALTHY</v>
      </c>
      <c r="H45">
        <v>40</v>
      </c>
      <c r="I45" s="7" t="s">
        <v>104</v>
      </c>
      <c r="J45" s="3">
        <v>6.5</v>
      </c>
      <c r="K45" s="3"/>
      <c r="L45" s="5">
        <f>IF($J45="","",ROUND($J45/Summary!$B$3*100,1))</f>
        <v>48.1</v>
      </c>
      <c r="M45" s="5" t="str">
        <f t="shared" si="5"/>
        <v>HEALTHY</v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>
        <v>5.5</v>
      </c>
      <c r="D46" s="3"/>
      <c r="E46" s="5">
        <f>IF($C46="","",ROUND($C46/Summary!$B$3*100,1))</f>
        <v>40.700000000000003</v>
      </c>
      <c r="F46" s="5" t="str">
        <f t="shared" si="4"/>
        <v>HEALTHY</v>
      </c>
      <c r="H46">
        <v>41</v>
      </c>
      <c r="I46" s="7" t="s">
        <v>43</v>
      </c>
      <c r="J46" s="3">
        <v>6.2</v>
      </c>
      <c r="K46" s="3"/>
      <c r="L46" s="5">
        <f>IF($J46="","",ROUND($J46/Summary!$B$3*100,1))</f>
        <v>45.9</v>
      </c>
      <c r="M46" s="5" t="str">
        <f t="shared" si="5"/>
        <v>HEALTHY</v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3">
        <v>5.4</v>
      </c>
      <c r="D47" s="3"/>
      <c r="E47" s="5">
        <f>IF($C47="","",ROUND($C47/Summary!$B$3*100,1))</f>
        <v>40</v>
      </c>
      <c r="F47" s="5" t="str">
        <f t="shared" si="4"/>
        <v>HEALTHY</v>
      </c>
      <c r="H47">
        <v>42</v>
      </c>
      <c r="I47" s="7" t="s">
        <v>107</v>
      </c>
      <c r="J47" s="3">
        <v>6.8</v>
      </c>
      <c r="K47" s="3"/>
      <c r="L47" s="5">
        <f>IF($J47="","",ROUND($J47/Summary!$B$3*100,1))</f>
        <v>50.4</v>
      </c>
      <c r="M47" s="5" t="str">
        <f t="shared" si="5"/>
        <v>HEALTHY</v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>
        <v>5.4</v>
      </c>
      <c r="D48" s="3"/>
      <c r="E48" s="5">
        <f>IF($C48="","",ROUND($C48/Summary!$B$3*100,1))</f>
        <v>40</v>
      </c>
      <c r="F48" s="5" t="str">
        <f t="shared" si="4"/>
        <v>HEALTHY</v>
      </c>
      <c r="H48">
        <v>43</v>
      </c>
      <c r="I48" s="7" t="s">
        <v>109</v>
      </c>
      <c r="J48" s="3">
        <v>6.2</v>
      </c>
      <c r="K48" s="3"/>
      <c r="L48" s="5">
        <f>IF($J48="","",ROUND($J48/Summary!$B$3*100,1))</f>
        <v>45.9</v>
      </c>
      <c r="M48" s="5" t="str">
        <f t="shared" si="5"/>
        <v>HEALTHY</v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>
        <v>5.5</v>
      </c>
      <c r="D49" s="3"/>
      <c r="E49" s="5">
        <f>IF($C49="","",ROUND($C49/Summary!$B$3*100,1))</f>
        <v>40.700000000000003</v>
      </c>
      <c r="F49" s="5" t="str">
        <f t="shared" si="4"/>
        <v>HEALTHY</v>
      </c>
      <c r="H49">
        <v>44</v>
      </c>
      <c r="I49" s="7" t="s">
        <v>111</v>
      </c>
      <c r="J49" s="3">
        <v>6.3</v>
      </c>
      <c r="K49" s="3"/>
      <c r="L49" s="5">
        <f>IF($J49="","",ROUND($J49/Summary!$B$3*100,1))</f>
        <v>46.7</v>
      </c>
      <c r="M49" s="5" t="str">
        <f t="shared" si="5"/>
        <v>HEALTHY</v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>
        <v>5.5</v>
      </c>
      <c r="D50" s="3"/>
      <c r="E50" s="5">
        <f>IF($C50="","",ROUND($C50/Summary!$B$3*100,1))</f>
        <v>40.700000000000003</v>
      </c>
      <c r="F50" s="5" t="str">
        <f t="shared" si="4"/>
        <v>HEALTHY</v>
      </c>
      <c r="H50">
        <v>45</v>
      </c>
      <c r="I50" s="7" t="s">
        <v>46</v>
      </c>
      <c r="J50" s="3">
        <v>6.2</v>
      </c>
      <c r="K50" s="3"/>
      <c r="L50" s="5">
        <f>IF($J50="","",ROUND($J50/Summary!$B$3*100,1))</f>
        <v>45.9</v>
      </c>
      <c r="M50" s="5" t="str">
        <f t="shared" si="5"/>
        <v>HEALTHY</v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>
        <v>5.7</v>
      </c>
      <c r="D51" s="3"/>
      <c r="E51" s="5">
        <f>IF($C51="","",ROUND($C51/Summary!$B$3*100,1))</f>
        <v>42.2</v>
      </c>
      <c r="F51" s="5" t="str">
        <f t="shared" si="4"/>
        <v>HEALTHY</v>
      </c>
      <c r="H51">
        <v>46</v>
      </c>
      <c r="I51" s="7" t="s">
        <v>114</v>
      </c>
      <c r="J51" s="3">
        <v>6.6</v>
      </c>
      <c r="K51" s="3"/>
      <c r="L51" s="5">
        <f>IF($J51="","",ROUND($J51/Summary!$B$3*100,1))</f>
        <v>48.9</v>
      </c>
      <c r="M51" s="5" t="str">
        <f t="shared" si="5"/>
        <v>HEALTHY</v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>
        <v>5.5</v>
      </c>
      <c r="D52" s="3"/>
      <c r="E52" s="5">
        <f>IF($C52="","",ROUND($C52/Summary!$B$3*100,1))</f>
        <v>40.700000000000003</v>
      </c>
      <c r="F52" s="5" t="str">
        <f t="shared" si="4"/>
        <v>HEALTHY</v>
      </c>
      <c r="H52">
        <v>47</v>
      </c>
      <c r="I52" s="7" t="s">
        <v>116</v>
      </c>
      <c r="J52" s="3">
        <v>6.6</v>
      </c>
      <c r="K52" s="3"/>
      <c r="L52" s="5">
        <f>IF($J52="","",ROUND($J52/Summary!$B$3*100,1))</f>
        <v>48.9</v>
      </c>
      <c r="M52" s="5" t="str">
        <f t="shared" si="5"/>
        <v>HEALTHY</v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>
        <v>5.5</v>
      </c>
      <c r="D53" s="3"/>
      <c r="E53" s="5">
        <f>IF($C53="","",ROUND($C53/Summary!$B$3*100,1))</f>
        <v>40.700000000000003</v>
      </c>
      <c r="F53" s="5" t="str">
        <f t="shared" si="4"/>
        <v>HEALTHY</v>
      </c>
      <c r="H53">
        <v>48</v>
      </c>
      <c r="I53" s="7" t="s">
        <v>118</v>
      </c>
      <c r="J53" s="3">
        <v>6.2</v>
      </c>
      <c r="K53" s="3"/>
      <c r="L53" s="5">
        <f>IF($J53="","",ROUND($J53/Summary!$B$3*100,1))</f>
        <v>45.9</v>
      </c>
      <c r="M53" s="5" t="str">
        <f t="shared" si="5"/>
        <v>HEALTHY</v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>
        <v>5.4</v>
      </c>
      <c r="D54" s="3"/>
      <c r="E54" s="5">
        <f>IF($C54="","",ROUND($C54/Summary!$B$3*100,1))</f>
        <v>40</v>
      </c>
      <c r="F54" s="5" t="str">
        <f t="shared" si="4"/>
        <v>HEALTHY</v>
      </c>
      <c r="H54">
        <v>49</v>
      </c>
      <c r="I54" s="7" t="s">
        <v>48</v>
      </c>
      <c r="J54" s="3">
        <v>6.2</v>
      </c>
      <c r="K54" s="3"/>
      <c r="L54" s="5">
        <f>IF($J54="","",ROUND($J54/Summary!$B$3*100,1))</f>
        <v>45.9</v>
      </c>
      <c r="M54" s="5" t="str">
        <f t="shared" si="5"/>
        <v>HEALTHY</v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>
        <v>5.5</v>
      </c>
      <c r="D55" s="3"/>
      <c r="E55" s="5">
        <f>IF($C55="","",ROUND($C55/Summary!$B$3*100,1))</f>
        <v>40.700000000000003</v>
      </c>
      <c r="F55" s="5" t="str">
        <f t="shared" si="4"/>
        <v>HEALTHY</v>
      </c>
      <c r="H55">
        <v>50</v>
      </c>
      <c r="I55" s="7" t="s">
        <v>121</v>
      </c>
      <c r="J55" s="3">
        <v>6.5</v>
      </c>
      <c r="K55" s="3"/>
      <c r="L55" s="5">
        <f>IF($J55="","",ROUND($J55/Summary!$B$3*100,1))</f>
        <v>48.1</v>
      </c>
      <c r="M55" s="5" t="str">
        <f t="shared" si="5"/>
        <v>HEALTHY</v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50</v>
      </c>
      <c r="I58" s="8" t="s">
        <v>52</v>
      </c>
      <c r="J58" s="5">
        <f>COUNT(J6:J55)</f>
        <v>50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>
        <f>IFERROR(AVERAGE(C6:C55),"")</f>
        <v>5.5340000000000007</v>
      </c>
      <c r="I59" s="8" t="s">
        <v>55</v>
      </c>
      <c r="J59" s="5">
        <f>IFERROR(AVERAGE(J6:J55),"")</f>
        <v>5.8839999999999986</v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 t="str">
        <f ca="1">IFERROR(_xludf.STDEV.S(C6:C55),"")</f>
        <v/>
      </c>
      <c r="I60" s="13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5.0999999999999996</v>
      </c>
      <c r="I61" s="8" t="s">
        <v>60</v>
      </c>
      <c r="J61" s="5">
        <f>IFERROR(MIN(J6:J55),"")</f>
        <v>5.0999999999999996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5.9</v>
      </c>
      <c r="I62" s="8" t="s">
        <v>63</v>
      </c>
      <c r="J62" s="5">
        <f>IFERROR(MAX(J6:J55),"")</f>
        <v>6.9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>
        <f>IF(COUNT(C6:C55)=0,"",MAX(C6:C55)-MIN(C6:C55))</f>
        <v>0.80000000000000071</v>
      </c>
      <c r="I63" s="8" t="s">
        <v>66</v>
      </c>
      <c r="J63" s="5">
        <f>IF(COUNT(J6:J55)=0,"",MAX(J6:J55)-MIN(J6:J55))</f>
        <v>1.8000000000000007</v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>
        <f>IFERROR(AVERAGE(E6:E55),"")</f>
        <v>40.978000000000023</v>
      </c>
      <c r="I64" s="8" t="s">
        <v>69</v>
      </c>
      <c r="J64" s="5">
        <f>IFERROR(AVERAGE(L6:L55),"")</f>
        <v>43.578000000000017</v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9"/>
  <sheetViews>
    <sheetView topLeftCell="A2"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4.42578125" customWidth="1"/>
    <col min="9" max="9" width="10" customWidth="1"/>
    <col min="10" max="10" width="9" customWidth="1"/>
    <col min="11" max="12" width="8" customWidth="1"/>
    <col min="13" max="13" width="11" customWidth="1"/>
    <col min="14" max="14" width="2" customWidth="1"/>
    <col min="15" max="15" width="4.425781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128</v>
      </c>
    </row>
    <row r="2" spans="1:27" x14ac:dyDescent="0.25">
      <c r="A2" t="s">
        <v>1</v>
      </c>
      <c r="B2" s="10" t="s">
        <v>188</v>
      </c>
      <c r="C2" t="s">
        <v>2</v>
      </c>
      <c r="D2" s="10" t="s">
        <v>189</v>
      </c>
      <c r="H2" t="s">
        <v>3</v>
      </c>
      <c r="I2" s="3"/>
      <c r="O2" t="s">
        <v>4</v>
      </c>
      <c r="P2" s="3"/>
      <c r="V2" t="s">
        <v>5</v>
      </c>
      <c r="W2" s="5">
        <f>Summary!$B$3</f>
        <v>13.5</v>
      </c>
    </row>
    <row r="3" spans="1:27" x14ac:dyDescent="0.25">
      <c r="D3" s="11" t="s">
        <v>190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2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>
        <v>5.4</v>
      </c>
      <c r="D6" s="3"/>
      <c r="E6" s="5">
        <f>IF($C6="","",ROUND($C6/Summary!$B$3*100,1))</f>
        <v>40</v>
      </c>
      <c r="F6" s="5" t="str">
        <f t="shared" ref="F6:F37" si="0">IF($C6="","",IF($C6&lt;2,"LETHAL",IF($C6&lt;4,"CRITICAL",IF($C6&lt;5,"LOW",IF($C6&lt;=8,"HEALTHY","SUPERSAT")))))</f>
        <v>HEALTHY</v>
      </c>
      <c r="H6">
        <v>1</v>
      </c>
      <c r="I6" s="7" t="s">
        <v>16</v>
      </c>
      <c r="J6" s="3">
        <v>5.4</v>
      </c>
      <c r="K6" s="3"/>
      <c r="L6" s="5">
        <f>IF($J6="","",ROUND($J6/Summary!$B$3*100,1))</f>
        <v>40</v>
      </c>
      <c r="M6" s="5" t="str">
        <f t="shared" ref="M6:M37" si="1">IF($J6="","",IF($J6&lt;2,"LETHAL",IF($J6&lt;4,"CRITICAL",IF($J6&lt;5,"LOW",IF($J6&lt;=8,"HEALTHY","SUPERSAT")))))</f>
        <v>HEALTHY</v>
      </c>
      <c r="O6">
        <v>1</v>
      </c>
      <c r="P6" s="7" t="s">
        <v>17</v>
      </c>
      <c r="Q6" s="3">
        <v>5.4</v>
      </c>
      <c r="R6" s="3"/>
      <c r="S6" s="5">
        <f>IF($Q6="","",ROUND($Q6/Summary!$B$3*100,1))</f>
        <v>40</v>
      </c>
      <c r="T6" s="5" t="str">
        <f t="shared" ref="T6:T16" si="2">IF($Q6="","",IF($Q6&lt;2,"LETHAL",IF($Q6&lt;4,"CRITICAL",IF($Q6&lt;5,"LOW",IF($Q6&lt;=8,"HEALTHY","SUPERSAT")))))</f>
        <v>HEALTHY</v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>
        <v>5.5</v>
      </c>
      <c r="D7" s="3"/>
      <c r="E7" s="5">
        <f>IF($C7="","",ROUND($C7/Summary!$B$3*100,1))</f>
        <v>40.700000000000003</v>
      </c>
      <c r="F7" s="5" t="str">
        <f t="shared" si="0"/>
        <v>HEALTHY</v>
      </c>
      <c r="H7">
        <v>2</v>
      </c>
      <c r="I7" s="7" t="s">
        <v>19</v>
      </c>
      <c r="J7" s="3">
        <v>5.5</v>
      </c>
      <c r="K7" s="3"/>
      <c r="L7" s="5">
        <f>IF($J7="","",ROUND($J7/Summary!$B$3*100,1))</f>
        <v>40.700000000000003</v>
      </c>
      <c r="M7" s="5" t="str">
        <f t="shared" si="1"/>
        <v>HEALTHY</v>
      </c>
      <c r="O7">
        <v>2</v>
      </c>
      <c r="P7" s="7" t="s">
        <v>20</v>
      </c>
      <c r="Q7" s="3">
        <v>5.5</v>
      </c>
      <c r="R7" s="3"/>
      <c r="S7" s="5">
        <f>IF($Q7="","",ROUND($Q7/Summary!$B$3*100,1))</f>
        <v>40.700000000000003</v>
      </c>
      <c r="T7" s="5" t="str">
        <f t="shared" si="2"/>
        <v>HEALTHY</v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>
        <v>5.5</v>
      </c>
      <c r="D8" s="3"/>
      <c r="E8" s="5">
        <f>IF($C8="","",ROUND($C8/Summary!$B$3*100,1))</f>
        <v>40.700000000000003</v>
      </c>
      <c r="F8" s="5" t="str">
        <f t="shared" si="0"/>
        <v>HEALTHY</v>
      </c>
      <c r="H8">
        <v>3</v>
      </c>
      <c r="I8" s="7" t="s">
        <v>22</v>
      </c>
      <c r="J8" s="3">
        <v>5.5</v>
      </c>
      <c r="K8" s="3"/>
      <c r="L8" s="5">
        <f>IF($J8="","",ROUND($J8/Summary!$B$3*100,1))</f>
        <v>40.700000000000003</v>
      </c>
      <c r="M8" s="5" t="str">
        <f t="shared" si="1"/>
        <v>HEALTHY</v>
      </c>
      <c r="O8">
        <v>3</v>
      </c>
      <c r="P8" s="7" t="s">
        <v>23</v>
      </c>
      <c r="Q8" s="3">
        <v>6.2</v>
      </c>
      <c r="R8" s="3"/>
      <c r="S8" s="5">
        <f>IF($Q8="","",ROUND($Q8/Summary!$B$3*100,1))</f>
        <v>45.9</v>
      </c>
      <c r="T8" s="5" t="str">
        <f t="shared" si="2"/>
        <v>HEALTHY</v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>
        <v>5.4</v>
      </c>
      <c r="D9" s="3"/>
      <c r="E9" s="5">
        <f>IF($C9="","",ROUND($C9/Summary!$B$3*100,1))</f>
        <v>40</v>
      </c>
      <c r="F9" s="5" t="str">
        <f t="shared" si="0"/>
        <v>HEALTHY</v>
      </c>
      <c r="H9">
        <v>4</v>
      </c>
      <c r="I9" s="7" t="s">
        <v>25</v>
      </c>
      <c r="J9" s="3">
        <v>5.5</v>
      </c>
      <c r="K9" s="3"/>
      <c r="L9" s="5">
        <f>IF($J9="","",ROUND($J9/Summary!$B$3*100,1))</f>
        <v>40.700000000000003</v>
      </c>
      <c r="M9" s="5" t="str">
        <f t="shared" si="1"/>
        <v>HEALTHY</v>
      </c>
      <c r="O9">
        <v>4</v>
      </c>
      <c r="P9" s="7" t="s">
        <v>26</v>
      </c>
      <c r="Q9" s="3">
        <v>6.6</v>
      </c>
      <c r="R9" s="3"/>
      <c r="S9" s="5">
        <f>IF($Q9="","",ROUND($Q9/Summary!$B$3*100,1))</f>
        <v>48.9</v>
      </c>
      <c r="T9" s="5" t="str">
        <f t="shared" si="2"/>
        <v>HEALTHY</v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>
        <v>5.4</v>
      </c>
      <c r="D10" s="3"/>
      <c r="E10" s="5">
        <f>IF($C10="","",ROUND($C10/Summary!$B$3*100,1))</f>
        <v>40</v>
      </c>
      <c r="F10" s="5" t="str">
        <f t="shared" si="0"/>
        <v>HEALTHY</v>
      </c>
      <c r="H10">
        <v>5</v>
      </c>
      <c r="I10" s="7" t="s">
        <v>18</v>
      </c>
      <c r="J10" s="3">
        <v>5.6</v>
      </c>
      <c r="K10" s="3"/>
      <c r="L10" s="5">
        <f>IF($J10="","",ROUND($J10/Summary!$B$3*100,1))</f>
        <v>41.5</v>
      </c>
      <c r="M10" s="5" t="str">
        <f t="shared" si="1"/>
        <v>HEALTHY</v>
      </c>
      <c r="O10">
        <v>5</v>
      </c>
      <c r="P10" s="7" t="s">
        <v>28</v>
      </c>
      <c r="Q10" s="3">
        <v>7.8</v>
      </c>
      <c r="R10" s="3"/>
      <c r="S10" s="5">
        <f>IF($Q10="","",ROUND($Q10/Summary!$B$3*100,1))</f>
        <v>57.8</v>
      </c>
      <c r="T10" s="5" t="str">
        <f t="shared" si="2"/>
        <v>HEALTHY</v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>
        <v>5.3</v>
      </c>
      <c r="D11" s="3"/>
      <c r="E11" s="5">
        <f>IF($C11="","",ROUND($C11/Summary!$B$3*100,1))</f>
        <v>39.299999999999997</v>
      </c>
      <c r="F11" s="5" t="str">
        <f t="shared" si="0"/>
        <v>HEALTHY</v>
      </c>
      <c r="H11">
        <v>6</v>
      </c>
      <c r="I11" s="7" t="s">
        <v>30</v>
      </c>
      <c r="J11" s="3">
        <v>5.5</v>
      </c>
      <c r="K11" s="3"/>
      <c r="L11" s="5">
        <f>IF($J11="","",ROUND($J11/Summary!$B$3*100,1))</f>
        <v>40.700000000000003</v>
      </c>
      <c r="M11" s="5" t="str">
        <f t="shared" si="1"/>
        <v>HEALTHY</v>
      </c>
      <c r="O11">
        <v>6</v>
      </c>
      <c r="P11" s="7" t="s">
        <v>31</v>
      </c>
      <c r="Q11" s="3">
        <v>7.5</v>
      </c>
      <c r="R11" s="3"/>
      <c r="S11" s="5">
        <f>IF($Q11="","",ROUND($Q11/Summary!$B$3*100,1))</f>
        <v>55.6</v>
      </c>
      <c r="T11" s="5" t="str">
        <f t="shared" si="2"/>
        <v>HEALTHY</v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>
        <v>5.7</v>
      </c>
      <c r="D12" s="3"/>
      <c r="E12" s="5">
        <f>IF($C12="","",ROUND($C12/Summary!$B$3*100,1))</f>
        <v>42.2</v>
      </c>
      <c r="F12" s="5" t="str">
        <f t="shared" si="0"/>
        <v>HEALTHY</v>
      </c>
      <c r="H12">
        <v>7</v>
      </c>
      <c r="I12" s="7" t="s">
        <v>33</v>
      </c>
      <c r="J12" s="3">
        <v>5.4</v>
      </c>
      <c r="K12" s="3"/>
      <c r="L12" s="5">
        <f>IF($J12="","",ROUND($J12/Summary!$B$3*100,1))</f>
        <v>40</v>
      </c>
      <c r="M12" s="5" t="str">
        <f t="shared" si="1"/>
        <v>HEALTHY</v>
      </c>
      <c r="O12">
        <v>7</v>
      </c>
      <c r="P12" s="7" t="s">
        <v>34</v>
      </c>
      <c r="Q12" s="3">
        <v>7.3</v>
      </c>
      <c r="R12" s="3"/>
      <c r="S12" s="5">
        <f>IF($Q12="","",ROUND($Q12/Summary!$B$3*100,1))</f>
        <v>54.1</v>
      </c>
      <c r="T12" s="5" t="str">
        <f t="shared" si="2"/>
        <v>HEALTHY</v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>
        <v>5.4</v>
      </c>
      <c r="D13" s="3"/>
      <c r="E13" s="5">
        <f>IF($C13="","",ROUND($C13/Summary!$B$3*100,1))</f>
        <v>40</v>
      </c>
      <c r="F13" s="5" t="str">
        <f t="shared" si="0"/>
        <v>HEALTHY</v>
      </c>
      <c r="H13">
        <v>8</v>
      </c>
      <c r="I13" s="7" t="s">
        <v>36</v>
      </c>
      <c r="J13" s="3">
        <v>5.5</v>
      </c>
      <c r="K13" s="3"/>
      <c r="L13" s="5">
        <f>IF($J13="","",ROUND($J13/Summary!$B$3*100,1))</f>
        <v>40.700000000000003</v>
      </c>
      <c r="M13" s="5" t="str">
        <f t="shared" si="1"/>
        <v>HEALTHY</v>
      </c>
      <c r="O13">
        <v>8</v>
      </c>
      <c r="P13" s="7" t="s">
        <v>37</v>
      </c>
      <c r="Q13" s="3">
        <v>7.5</v>
      </c>
      <c r="R13" s="3"/>
      <c r="S13" s="5">
        <f>IF($Q13="","",ROUND($Q13/Summary!$B$3*100,1))</f>
        <v>55.6</v>
      </c>
      <c r="T13" s="5" t="str">
        <f t="shared" si="2"/>
        <v>HEALTHY</v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>
        <v>5.4</v>
      </c>
      <c r="D14" s="3"/>
      <c r="E14" s="5">
        <f>IF($C14="","",ROUND($C14/Summary!$B$3*100,1))</f>
        <v>40</v>
      </c>
      <c r="F14" s="5" t="str">
        <f t="shared" si="0"/>
        <v>HEALTHY</v>
      </c>
      <c r="H14">
        <v>9</v>
      </c>
      <c r="I14" s="7" t="s">
        <v>21</v>
      </c>
      <c r="J14" s="3">
        <v>5.4</v>
      </c>
      <c r="K14" s="3"/>
      <c r="L14" s="5">
        <f>IF($J14="","",ROUND($J14/Summary!$B$3*100,1))</f>
        <v>40</v>
      </c>
      <c r="M14" s="5" t="str">
        <f t="shared" si="1"/>
        <v>HEALTHY</v>
      </c>
      <c r="O14">
        <v>9</v>
      </c>
      <c r="P14" s="7" t="s">
        <v>39</v>
      </c>
      <c r="Q14" s="3">
        <v>8.1</v>
      </c>
      <c r="R14" s="3"/>
      <c r="S14" s="5">
        <f>IF($Q14="","",ROUND($Q14/Summary!$B$3*100,1))</f>
        <v>60</v>
      </c>
      <c r="T14" s="5" t="str">
        <f t="shared" si="2"/>
        <v>SUPERSAT</v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>
        <v>5.5</v>
      </c>
      <c r="D15" s="3"/>
      <c r="E15" s="5">
        <f>IF($C15="","",ROUND($C15/Summary!$B$3*100,1))</f>
        <v>40.700000000000003</v>
      </c>
      <c r="F15" s="5" t="str">
        <f t="shared" si="0"/>
        <v>HEALTHY</v>
      </c>
      <c r="H15">
        <v>10</v>
      </c>
      <c r="I15" s="7" t="s">
        <v>41</v>
      </c>
      <c r="J15" s="3">
        <v>5.5</v>
      </c>
      <c r="K15" s="3"/>
      <c r="L15" s="5">
        <f>IF($J15="","",ROUND($J15/Summary!$B$3*100,1))</f>
        <v>40.700000000000003</v>
      </c>
      <c r="M15" s="5" t="str">
        <f t="shared" si="1"/>
        <v>HEALTHY</v>
      </c>
      <c r="O15">
        <v>10</v>
      </c>
      <c r="P15" s="7" t="s">
        <v>42</v>
      </c>
      <c r="Q15" s="3">
        <v>7.8</v>
      </c>
      <c r="R15" s="3"/>
      <c r="S15" s="5">
        <f>IF($Q15="","",ROUND($Q15/Summary!$B$3*100,1))</f>
        <v>57.8</v>
      </c>
      <c r="T15" s="5" t="str">
        <f t="shared" si="2"/>
        <v>HEALTHY</v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>
        <v>5.5</v>
      </c>
      <c r="D16" s="3"/>
      <c r="E16" s="5">
        <f>IF($C16="","",ROUND($C16/Summary!$B$3*100,1))</f>
        <v>40.700000000000003</v>
      </c>
      <c r="F16" s="5" t="str">
        <f t="shared" si="0"/>
        <v>HEALTHY</v>
      </c>
      <c r="H16">
        <v>11</v>
      </c>
      <c r="I16" s="7" t="s">
        <v>44</v>
      </c>
      <c r="J16" s="3">
        <v>5.5</v>
      </c>
      <c r="K16" s="3"/>
      <c r="L16" s="5">
        <f>IF($J16="","",ROUND($J16/Summary!$B$3*100,1))</f>
        <v>40.700000000000003</v>
      </c>
      <c r="M16" s="5" t="str">
        <f t="shared" si="1"/>
        <v>HEALTHY</v>
      </c>
      <c r="O16">
        <v>11</v>
      </c>
      <c r="P16" s="7" t="s">
        <v>45</v>
      </c>
      <c r="Q16" s="3">
        <v>7.2</v>
      </c>
      <c r="R16" s="3"/>
      <c r="S16" s="5">
        <f>IF($Q16="","",ROUND($Q16/Summary!$B$3*100,1))</f>
        <v>53.3</v>
      </c>
      <c r="T16" s="5" t="str">
        <f t="shared" si="2"/>
        <v>HEALTHY</v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>
        <v>5.6</v>
      </c>
      <c r="D17" s="3"/>
      <c r="E17" s="5">
        <f>IF($C17="","",ROUND($C17/Summary!$B$3*100,1))</f>
        <v>41.5</v>
      </c>
      <c r="F17" s="5" t="str">
        <f t="shared" si="0"/>
        <v>HEALTHY</v>
      </c>
      <c r="H17">
        <v>12</v>
      </c>
      <c r="I17" s="7" t="s">
        <v>47</v>
      </c>
      <c r="J17" s="3">
        <v>5.6</v>
      </c>
      <c r="K17" s="3"/>
      <c r="L17" s="5">
        <f>IF($J17="","",ROUND($J17/Summary!$B$3*100,1))</f>
        <v>41.5</v>
      </c>
      <c r="M17" s="5" t="str">
        <f t="shared" si="1"/>
        <v>HEALTHY</v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>
        <v>5.3</v>
      </c>
      <c r="D18" s="3"/>
      <c r="E18" s="5">
        <f>IF($C18="","",ROUND($C18/Summary!$B$3*100,1))</f>
        <v>39.299999999999997</v>
      </c>
      <c r="F18" s="5" t="str">
        <f t="shared" si="0"/>
        <v>HEALTHY</v>
      </c>
      <c r="H18">
        <v>13</v>
      </c>
      <c r="I18" s="7" t="s">
        <v>24</v>
      </c>
      <c r="J18" s="3">
        <v>5.8</v>
      </c>
      <c r="K18" s="3"/>
      <c r="L18" s="5">
        <f>IF($J18="","",ROUND($J18/Summary!$B$3*100,1))</f>
        <v>43</v>
      </c>
      <c r="M18" s="5" t="str">
        <f t="shared" si="1"/>
        <v>HEALTHY</v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>
        <v>5.5</v>
      </c>
      <c r="D19" s="3"/>
      <c r="E19" s="5">
        <f>IF($C19="","",ROUND($C19/Summary!$B$3*100,1))</f>
        <v>40.700000000000003</v>
      </c>
      <c r="F19" s="5" t="str">
        <f t="shared" si="0"/>
        <v>HEALTHY</v>
      </c>
      <c r="H19">
        <v>14</v>
      </c>
      <c r="I19" s="7" t="s">
        <v>51</v>
      </c>
      <c r="J19" s="3">
        <v>5.4</v>
      </c>
      <c r="K19" s="3"/>
      <c r="L19" s="5">
        <f>IF($J19="","",ROUND($J19/Summary!$B$3*100,1))</f>
        <v>40</v>
      </c>
      <c r="M19" s="5" t="str">
        <f t="shared" si="1"/>
        <v>HEALTHY</v>
      </c>
      <c r="P19" s="8" t="s">
        <v>52</v>
      </c>
      <c r="Q19" s="5">
        <f>COUNT(Q6:Q16)</f>
        <v>11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>
        <v>5.5</v>
      </c>
      <c r="D20" s="3"/>
      <c r="E20" s="5">
        <f>IF($C20="","",ROUND($C20/Summary!$B$3*100,1))</f>
        <v>40.700000000000003</v>
      </c>
      <c r="F20" s="5" t="str">
        <f t="shared" si="0"/>
        <v>HEALTHY</v>
      </c>
      <c r="H20">
        <v>15</v>
      </c>
      <c r="I20" s="7" t="s">
        <v>54</v>
      </c>
      <c r="J20" s="3">
        <v>5.5</v>
      </c>
      <c r="K20" s="3"/>
      <c r="L20" s="5">
        <f>IF($J20="","",ROUND($J20/Summary!$B$3*100,1))</f>
        <v>40.700000000000003</v>
      </c>
      <c r="M20" s="5" t="str">
        <f t="shared" si="1"/>
        <v>HEALTHY</v>
      </c>
      <c r="P20" s="8" t="s">
        <v>55</v>
      </c>
      <c r="Q20" s="5">
        <f>IFERROR(AVERAGE(Q6:Q16),"")</f>
        <v>6.9909090909090912</v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>
        <v>5.4</v>
      </c>
      <c r="D21" s="3"/>
      <c r="E21" s="5">
        <f>IF($C21="","",ROUND($C21/Summary!$B$3*100,1))</f>
        <v>40</v>
      </c>
      <c r="F21" s="5" t="str">
        <f t="shared" si="0"/>
        <v>HEALTHY</v>
      </c>
      <c r="H21">
        <v>16</v>
      </c>
      <c r="I21" s="7" t="s">
        <v>57</v>
      </c>
      <c r="J21" s="3">
        <v>5.7</v>
      </c>
      <c r="K21" s="3"/>
      <c r="L21" s="5">
        <f>IF($J21="","",ROUND($J21/Summary!$B$3*100,1))</f>
        <v>42.2</v>
      </c>
      <c r="M21" s="5" t="str">
        <f t="shared" si="1"/>
        <v>HEALTHY</v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>
        <v>5.7</v>
      </c>
      <c r="D22" s="3"/>
      <c r="E22" s="5">
        <f>IF($C22="","",ROUND($C22/Summary!$B$3*100,1))</f>
        <v>42.2</v>
      </c>
      <c r="F22" s="5" t="str">
        <f t="shared" si="0"/>
        <v>HEALTHY</v>
      </c>
      <c r="H22">
        <v>17</v>
      </c>
      <c r="I22" s="7" t="s">
        <v>27</v>
      </c>
      <c r="J22" s="3">
        <v>5.5</v>
      </c>
      <c r="K22" s="3"/>
      <c r="L22" s="5">
        <f>IF($J22="","",ROUND($J22/Summary!$B$3*100,1))</f>
        <v>40.700000000000003</v>
      </c>
      <c r="M22" s="5" t="str">
        <f t="shared" si="1"/>
        <v>HEALTHY</v>
      </c>
      <c r="P22" s="8" t="s">
        <v>60</v>
      </c>
      <c r="Q22" s="5">
        <f>IFERROR(MIN(Q6:Q16),"")</f>
        <v>5.4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>
        <v>5.5</v>
      </c>
      <c r="D23" s="3"/>
      <c r="E23" s="5">
        <f>IF($C23="","",ROUND($C23/Summary!$B$3*100,1))</f>
        <v>40.700000000000003</v>
      </c>
      <c r="F23" s="5" t="str">
        <f t="shared" si="0"/>
        <v>HEALTHY</v>
      </c>
      <c r="H23">
        <v>18</v>
      </c>
      <c r="I23" s="7" t="s">
        <v>62</v>
      </c>
      <c r="J23" s="3">
        <v>5.5</v>
      </c>
      <c r="K23" s="3"/>
      <c r="L23" s="5">
        <f>IF($J23="","",ROUND($J23/Summary!$B$3*100,1))</f>
        <v>40.700000000000003</v>
      </c>
      <c r="M23" s="5" t="str">
        <f t="shared" si="1"/>
        <v>HEALTHY</v>
      </c>
      <c r="P23" s="8" t="s">
        <v>63</v>
      </c>
      <c r="Q23" s="5">
        <f>IFERROR(MAX(Q6:Q16),"")</f>
        <v>8.1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>
        <v>5.7</v>
      </c>
      <c r="D24" s="3"/>
      <c r="E24" s="5">
        <f>IF($C24="","",ROUND($C24/Summary!$B$3*100,1))</f>
        <v>42.2</v>
      </c>
      <c r="F24" s="5" t="str">
        <f t="shared" si="0"/>
        <v>HEALTHY</v>
      </c>
      <c r="H24">
        <v>19</v>
      </c>
      <c r="I24" s="7" t="s">
        <v>65</v>
      </c>
      <c r="J24" s="3">
        <v>5.5</v>
      </c>
      <c r="K24" s="3"/>
      <c r="L24" s="5">
        <f>IF($J24="","",ROUND($J24/Summary!$B$3*100,1))</f>
        <v>40.700000000000003</v>
      </c>
      <c r="M24" s="5" t="str">
        <f t="shared" si="1"/>
        <v>HEALTHY</v>
      </c>
      <c r="P24" s="8" t="s">
        <v>66</v>
      </c>
      <c r="Q24" s="5">
        <f>IF(COUNT(Q6:Q16)=0,"",MAX(Q6:Q16)-MIN(Q6:Q16))</f>
        <v>2.6999999999999993</v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>
        <v>5.5</v>
      </c>
      <c r="D25" s="3"/>
      <c r="E25" s="5">
        <f>IF($C25="","",ROUND($C25/Summary!$B$3*100,1))</f>
        <v>40.700000000000003</v>
      </c>
      <c r="F25" s="5" t="str">
        <f t="shared" si="0"/>
        <v>HEALTHY</v>
      </c>
      <c r="H25">
        <v>20</v>
      </c>
      <c r="I25" s="7" t="s">
        <v>68</v>
      </c>
      <c r="J25" s="3">
        <v>5.6</v>
      </c>
      <c r="K25" s="3"/>
      <c r="L25" s="5">
        <f>IF($J25="","",ROUND($J25/Summary!$B$3*100,1))</f>
        <v>41.5</v>
      </c>
      <c r="M25" s="5" t="str">
        <f t="shared" si="1"/>
        <v>HEALTHY</v>
      </c>
      <c r="P25" s="8" t="s">
        <v>69</v>
      </c>
      <c r="Q25" s="5">
        <f>IFERROR(AVERAGE(S6:S16),"")</f>
        <v>51.790909090909096</v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>
        <v>5.5</v>
      </c>
      <c r="D26" s="3"/>
      <c r="E26" s="5">
        <f>IF($C26="","",ROUND($C26/Summary!$B$3*100,1))</f>
        <v>40.700000000000003</v>
      </c>
      <c r="F26" s="5" t="str">
        <f t="shared" si="0"/>
        <v>HEALTHY</v>
      </c>
      <c r="H26">
        <v>21</v>
      </c>
      <c r="I26" s="7" t="s">
        <v>29</v>
      </c>
      <c r="J26" s="3">
        <v>5.6</v>
      </c>
      <c r="K26" s="3"/>
      <c r="L26" s="5">
        <f>IF($J26="","",ROUND($J26/Summary!$B$3*100,1))</f>
        <v>41.5</v>
      </c>
      <c r="M26" s="5" t="str">
        <f t="shared" si="1"/>
        <v>HEALTHY</v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>
        <v>5.6</v>
      </c>
      <c r="D27" s="3"/>
      <c r="E27" s="5">
        <f>IF($C27="","",ROUND($C27/Summary!$B$3*100,1))</f>
        <v>41.5</v>
      </c>
      <c r="F27" s="5" t="str">
        <f t="shared" si="0"/>
        <v>HEALTHY</v>
      </c>
      <c r="H27">
        <v>22</v>
      </c>
      <c r="I27" s="7" t="s">
        <v>72</v>
      </c>
      <c r="J27" s="3">
        <v>5.6</v>
      </c>
      <c r="K27" s="3"/>
      <c r="L27" s="5">
        <f>IF($J27="","",ROUND($J27/Summary!$B$3*100,1))</f>
        <v>41.5</v>
      </c>
      <c r="M27" s="5" t="str">
        <f t="shared" si="1"/>
        <v>HEALTHY</v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>
        <v>5.5</v>
      </c>
      <c r="D28" s="3"/>
      <c r="E28" s="5">
        <f>IF($C28="","",ROUND($C28/Summary!$B$3*100,1))</f>
        <v>40.700000000000003</v>
      </c>
      <c r="F28" s="5" t="str">
        <f t="shared" si="0"/>
        <v>HEALTHY</v>
      </c>
      <c r="H28">
        <v>23</v>
      </c>
      <c r="I28" s="7" t="s">
        <v>74</v>
      </c>
      <c r="J28" s="3">
        <v>5.5</v>
      </c>
      <c r="K28" s="3"/>
      <c r="L28" s="5">
        <f>IF($J28="","",ROUND($J28/Summary!$B$3*100,1))</f>
        <v>40.700000000000003</v>
      </c>
      <c r="M28" s="5" t="str">
        <f t="shared" si="1"/>
        <v>HEALTHY</v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>
        <v>5.7</v>
      </c>
      <c r="D29" s="3"/>
      <c r="E29" s="5">
        <f>IF($C29="","",ROUND($C29/Summary!$B$3*100,1))</f>
        <v>42.2</v>
      </c>
      <c r="F29" s="5" t="str">
        <f t="shared" si="0"/>
        <v>HEALTHY</v>
      </c>
      <c r="H29">
        <v>24</v>
      </c>
      <c r="I29" s="7" t="s">
        <v>76</v>
      </c>
      <c r="J29" s="3">
        <v>5.5</v>
      </c>
      <c r="K29" s="3"/>
      <c r="L29" s="5">
        <f>IF($J29="","",ROUND($J29/Summary!$B$3*100,1))</f>
        <v>40.700000000000003</v>
      </c>
      <c r="M29" s="5" t="str">
        <f t="shared" si="1"/>
        <v>HEALTHY</v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>
        <v>5.5</v>
      </c>
      <c r="D30" s="3"/>
      <c r="E30" s="5">
        <f>IF($C30="","",ROUND($C30/Summary!$B$3*100,1))</f>
        <v>40.700000000000003</v>
      </c>
      <c r="F30" s="5" t="str">
        <f t="shared" si="0"/>
        <v>HEALTHY</v>
      </c>
      <c r="H30">
        <v>25</v>
      </c>
      <c r="I30" s="7" t="s">
        <v>32</v>
      </c>
      <c r="J30" s="3">
        <v>6.2</v>
      </c>
      <c r="K30" s="3"/>
      <c r="L30" s="5">
        <f>IF($J30="","",ROUND($J30/Summary!$B$3*100,1))</f>
        <v>45.9</v>
      </c>
      <c r="M30" s="5" t="str">
        <f t="shared" si="1"/>
        <v>HEALTHY</v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>
        <v>5.4</v>
      </c>
      <c r="D31" s="3"/>
      <c r="E31" s="5">
        <f>IF($C31="","",ROUND($C31/Summary!$B$3*100,1))</f>
        <v>40</v>
      </c>
      <c r="F31" s="5" t="str">
        <f t="shared" si="0"/>
        <v>HEALTHY</v>
      </c>
      <c r="H31">
        <v>26</v>
      </c>
      <c r="I31" s="7" t="s">
        <v>79</v>
      </c>
      <c r="J31" s="3">
        <v>6.1</v>
      </c>
      <c r="K31" s="3"/>
      <c r="L31" s="5">
        <f>IF($J31="","",ROUND($J31/Summary!$B$3*100,1))</f>
        <v>45.2</v>
      </c>
      <c r="M31" s="5" t="str">
        <f t="shared" si="1"/>
        <v>HEALTHY</v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>
        <v>5.5</v>
      </c>
      <c r="D32" s="3"/>
      <c r="E32" s="5">
        <f>IF($C32="","",ROUND($C32/Summary!$B$3*100,1))</f>
        <v>40.700000000000003</v>
      </c>
      <c r="F32" s="5" t="str">
        <f t="shared" si="0"/>
        <v>HEALTHY</v>
      </c>
      <c r="H32">
        <v>27</v>
      </c>
      <c r="I32" s="7" t="s">
        <v>81</v>
      </c>
      <c r="J32" s="3">
        <v>6.2</v>
      </c>
      <c r="K32" s="3"/>
      <c r="L32" s="5">
        <f>IF($J32="","",ROUND($J32/Summary!$B$3*100,1))</f>
        <v>45.9</v>
      </c>
      <c r="M32" s="5" t="str">
        <f t="shared" si="1"/>
        <v>HEALTHY</v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>
        <v>5.5</v>
      </c>
      <c r="D33" s="3"/>
      <c r="E33" s="5">
        <f>IF($C33="","",ROUND($C33/Summary!$B$3*100,1))</f>
        <v>40.700000000000003</v>
      </c>
      <c r="F33" s="5" t="str">
        <f t="shared" si="0"/>
        <v>HEALTHY</v>
      </c>
      <c r="H33">
        <v>28</v>
      </c>
      <c r="I33" s="7" t="s">
        <v>83</v>
      </c>
      <c r="J33" s="3">
        <v>6.2</v>
      </c>
      <c r="K33" s="3"/>
      <c r="L33" s="5">
        <f>IF($J33="","",ROUND($J33/Summary!$B$3*100,1))</f>
        <v>45.9</v>
      </c>
      <c r="M33" s="5" t="str">
        <f t="shared" si="1"/>
        <v>HEALTHY</v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>
        <v>5.4</v>
      </c>
      <c r="D34" s="3"/>
      <c r="E34" s="5">
        <f>IF($C34="","",ROUND($C34/Summary!$B$3*100,1))</f>
        <v>40</v>
      </c>
      <c r="F34" s="5" t="str">
        <f t="shared" si="0"/>
        <v>HEALTHY</v>
      </c>
      <c r="H34">
        <v>29</v>
      </c>
      <c r="I34" s="7" t="s">
        <v>35</v>
      </c>
      <c r="J34" s="3">
        <v>6.2</v>
      </c>
      <c r="K34" s="3"/>
      <c r="L34" s="5">
        <f>IF($J34="","",ROUND($J34/Summary!$B$3*100,1))</f>
        <v>45.9</v>
      </c>
      <c r="M34" s="5" t="str">
        <f t="shared" si="1"/>
        <v>HEALTHY</v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3">
        <v>5.5</v>
      </c>
      <c r="D35" s="3"/>
      <c r="E35" s="5">
        <f>IF($C35="","",ROUND($C35/Summary!$B$3*100,1))</f>
        <v>40.700000000000003</v>
      </c>
      <c r="F35" s="5" t="str">
        <f t="shared" si="0"/>
        <v>HEALTHY</v>
      </c>
      <c r="H35">
        <v>30</v>
      </c>
      <c r="I35" s="7" t="s">
        <v>86</v>
      </c>
      <c r="J35" s="3">
        <v>6.3</v>
      </c>
      <c r="K35" s="3"/>
      <c r="L35" s="5">
        <f>IF($J35="","",ROUND($J35/Summary!$B$3*100,1))</f>
        <v>46.7</v>
      </c>
      <c r="M35" s="5" t="str">
        <f t="shared" si="1"/>
        <v>HEALTHY</v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>
        <v>5.5</v>
      </c>
      <c r="D36" s="3"/>
      <c r="E36" s="5">
        <f>IF($C36="","",ROUND($C36/Summary!$B$3*100,1))</f>
        <v>40.700000000000003</v>
      </c>
      <c r="F36" s="5" t="str">
        <f t="shared" si="0"/>
        <v>HEALTHY</v>
      </c>
      <c r="H36">
        <v>31</v>
      </c>
      <c r="I36" s="7" t="s">
        <v>88</v>
      </c>
      <c r="J36" s="3">
        <v>6.2</v>
      </c>
      <c r="K36" s="3"/>
      <c r="L36" s="5">
        <f>IF($J36="","",ROUND($J36/Summary!$B$3*100,1))</f>
        <v>45.9</v>
      </c>
      <c r="M36" s="5" t="str">
        <f t="shared" si="1"/>
        <v>HEALTHY</v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>
        <v>5.6</v>
      </c>
      <c r="D37" s="3"/>
      <c r="E37" s="5">
        <f>IF($C37="","",ROUND($C37/Summary!$B$3*100,1))</f>
        <v>41.5</v>
      </c>
      <c r="F37" s="5" t="str">
        <f t="shared" si="0"/>
        <v>HEALTHY</v>
      </c>
      <c r="H37">
        <v>32</v>
      </c>
      <c r="I37" s="7" t="s">
        <v>90</v>
      </c>
      <c r="J37" s="3">
        <v>6.2</v>
      </c>
      <c r="K37" s="3"/>
      <c r="L37" s="5">
        <f>IF($J37="","",ROUND($J37/Summary!$B$3*100,1))</f>
        <v>45.9</v>
      </c>
      <c r="M37" s="5" t="str">
        <f t="shared" si="1"/>
        <v>HEALTHY</v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>
        <v>5.8</v>
      </c>
      <c r="D38" s="3"/>
      <c r="E38" s="5">
        <f>IF($C38="","",ROUND($C38/Summary!$B$3*100,1))</f>
        <v>43</v>
      </c>
      <c r="F38" s="5" t="str">
        <f t="shared" ref="F38:F55" si="4">IF($C38="","",IF($C38&lt;2,"LETHAL",IF($C38&lt;4,"CRITICAL",IF($C38&lt;5,"LOW",IF($C38&lt;=8,"HEALTHY","SUPERSAT")))))</f>
        <v>HEALTHY</v>
      </c>
      <c r="H38">
        <v>33</v>
      </c>
      <c r="I38" s="7" t="s">
        <v>38</v>
      </c>
      <c r="J38" s="3">
        <v>6.3</v>
      </c>
      <c r="K38" s="3"/>
      <c r="L38" s="5">
        <f>IF($J38="","",ROUND($J38/Summary!$B$3*100,1))</f>
        <v>46.7</v>
      </c>
      <c r="M38" s="5" t="str">
        <f t="shared" ref="M38:M55" si="5">IF($J38="","",IF($J38&lt;2,"LETHAL",IF($J38&lt;4,"CRITICAL",IF($J38&lt;5,"LOW",IF($J38&lt;=8,"HEALTHY","SUPERSAT")))))</f>
        <v>HEALTHY</v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>
        <v>5.5</v>
      </c>
      <c r="D39" s="3"/>
      <c r="E39" s="5">
        <f>IF($C39="","",ROUND($C39/Summary!$B$3*100,1))</f>
        <v>40.700000000000003</v>
      </c>
      <c r="F39" s="5" t="str">
        <f t="shared" si="4"/>
        <v>HEALTHY</v>
      </c>
      <c r="H39">
        <v>34</v>
      </c>
      <c r="I39" s="7" t="s">
        <v>93</v>
      </c>
      <c r="J39" s="3">
        <v>6.2</v>
      </c>
      <c r="K39" s="3"/>
      <c r="L39" s="5">
        <f>IF($J39="","",ROUND($J39/Summary!$B$3*100,1))</f>
        <v>45.9</v>
      </c>
      <c r="M39" s="5" t="str">
        <f t="shared" si="5"/>
        <v>HEALTHY</v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>
        <v>5.5</v>
      </c>
      <c r="D40" s="3"/>
      <c r="E40" s="5">
        <f>IF($C40="","",ROUND($C40/Summary!$B$3*100,1))</f>
        <v>40.700000000000003</v>
      </c>
      <c r="F40" s="5" t="str">
        <f t="shared" si="4"/>
        <v>HEALTHY</v>
      </c>
      <c r="H40">
        <v>35</v>
      </c>
      <c r="I40" s="7" t="s">
        <v>95</v>
      </c>
      <c r="J40" s="3">
        <v>6.2</v>
      </c>
      <c r="K40" s="3"/>
      <c r="L40" s="5">
        <f>IF($J40="","",ROUND($J40/Summary!$B$3*100,1))</f>
        <v>45.9</v>
      </c>
      <c r="M40" s="5" t="str">
        <f t="shared" si="5"/>
        <v>HEALTHY</v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>
        <v>5.3</v>
      </c>
      <c r="D41" s="3"/>
      <c r="E41" s="5">
        <f>IF($C41="","",ROUND($C41/Summary!$B$3*100,1))</f>
        <v>39.299999999999997</v>
      </c>
      <c r="F41" s="5" t="str">
        <f t="shared" si="4"/>
        <v>HEALTHY</v>
      </c>
      <c r="H41">
        <v>36</v>
      </c>
      <c r="I41" s="7" t="s">
        <v>97</v>
      </c>
      <c r="J41" s="3">
        <v>6.2</v>
      </c>
      <c r="K41" s="3"/>
      <c r="L41" s="5">
        <f>IF($J41="","",ROUND($J41/Summary!$B$3*100,1))</f>
        <v>45.9</v>
      </c>
      <c r="M41" s="5" t="str">
        <f t="shared" si="5"/>
        <v>HEALTHY</v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>
        <v>5.5</v>
      </c>
      <c r="D42" s="3"/>
      <c r="E42" s="5">
        <f>IF($C42="","",ROUND($C42/Summary!$B$3*100,1))</f>
        <v>40.700000000000003</v>
      </c>
      <c r="F42" s="5" t="str">
        <f t="shared" si="4"/>
        <v>HEALTHY</v>
      </c>
      <c r="H42">
        <v>37</v>
      </c>
      <c r="I42" s="7" t="s">
        <v>40</v>
      </c>
      <c r="J42" s="3">
        <v>6.2</v>
      </c>
      <c r="K42" s="3"/>
      <c r="L42" s="5">
        <f>IF($J42="","",ROUND($J42/Summary!$B$3*100,1))</f>
        <v>45.9</v>
      </c>
      <c r="M42" s="5" t="str">
        <f t="shared" si="5"/>
        <v>HEALTHY</v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>
        <v>5.8</v>
      </c>
      <c r="D43" s="3"/>
      <c r="E43" s="5">
        <f>IF($C43="","",ROUND($C43/Summary!$B$3*100,1))</f>
        <v>43</v>
      </c>
      <c r="F43" s="5" t="str">
        <f t="shared" si="4"/>
        <v>HEALTHY</v>
      </c>
      <c r="H43">
        <v>38</v>
      </c>
      <c r="I43" s="7" t="s">
        <v>100</v>
      </c>
      <c r="J43" s="3">
        <v>6.5</v>
      </c>
      <c r="K43" s="3"/>
      <c r="L43" s="5">
        <f>IF($J43="","",ROUND($J43/Summary!$B$3*100,1))</f>
        <v>48.1</v>
      </c>
      <c r="M43" s="5" t="str">
        <f t="shared" si="5"/>
        <v>HEALTHY</v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>
        <v>5.5</v>
      </c>
      <c r="D44" s="3"/>
      <c r="E44" s="5">
        <f>IF($C44="","",ROUND($C44/Summary!$B$3*100,1))</f>
        <v>40.700000000000003</v>
      </c>
      <c r="F44" s="5" t="str">
        <f t="shared" si="4"/>
        <v>HEALTHY</v>
      </c>
      <c r="H44">
        <v>39</v>
      </c>
      <c r="I44" s="7" t="s">
        <v>102</v>
      </c>
      <c r="J44" s="3">
        <v>6.6</v>
      </c>
      <c r="K44" s="3"/>
      <c r="L44" s="5">
        <f>IF($J44="","",ROUND($J44/Summary!$B$3*100,1))</f>
        <v>48.9</v>
      </c>
      <c r="M44" s="5" t="str">
        <f t="shared" si="5"/>
        <v>HEALTHY</v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>
        <v>5.7</v>
      </c>
      <c r="D45" s="3"/>
      <c r="E45" s="5">
        <f>IF($C45="","",ROUND($C45/Summary!$B$3*100,1))</f>
        <v>42.2</v>
      </c>
      <c r="F45" s="5" t="str">
        <f t="shared" si="4"/>
        <v>HEALTHY</v>
      </c>
      <c r="H45">
        <v>40</v>
      </c>
      <c r="I45" s="7" t="s">
        <v>104</v>
      </c>
      <c r="J45" s="3">
        <v>6.6</v>
      </c>
      <c r="K45" s="3"/>
      <c r="L45" s="5">
        <f>IF($J45="","",ROUND($J45/Summary!$B$3*100,1))</f>
        <v>48.9</v>
      </c>
      <c r="M45" s="5" t="str">
        <f t="shared" si="5"/>
        <v>HEALTHY</v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>
        <v>5.8</v>
      </c>
      <c r="D46" s="3"/>
      <c r="E46" s="5">
        <f>IF($C46="","",ROUND($C46/Summary!$B$3*100,1))</f>
        <v>43</v>
      </c>
      <c r="F46" s="5" t="str">
        <f t="shared" si="4"/>
        <v>HEALTHY</v>
      </c>
      <c r="H46">
        <v>41</v>
      </c>
      <c r="I46" s="7" t="s">
        <v>43</v>
      </c>
      <c r="J46" s="3">
        <v>6.7</v>
      </c>
      <c r="K46" s="3"/>
      <c r="L46" s="5">
        <f>IF($J46="","",ROUND($J46/Summary!$B$3*100,1))</f>
        <v>49.6</v>
      </c>
      <c r="M46" s="5" t="str">
        <f t="shared" si="5"/>
        <v>HEALTHY</v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10">
        <v>5.5</v>
      </c>
      <c r="D47" s="3"/>
      <c r="E47" s="5">
        <f>IF($C47="","",ROUND($C47/Summary!$B$3*100,1))</f>
        <v>40.700000000000003</v>
      </c>
      <c r="F47" s="5" t="str">
        <f t="shared" si="4"/>
        <v>HEALTHY</v>
      </c>
      <c r="H47">
        <v>42</v>
      </c>
      <c r="I47" s="7" t="s">
        <v>107</v>
      </c>
      <c r="J47" s="3">
        <v>6.4</v>
      </c>
      <c r="K47" s="3"/>
      <c r="L47" s="5">
        <f>IF($J47="","",ROUND($J47/Summary!$B$3*100,1))</f>
        <v>47.4</v>
      </c>
      <c r="M47" s="5" t="str">
        <f t="shared" si="5"/>
        <v>HEALTHY</v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>
        <v>5.4</v>
      </c>
      <c r="D48" s="3"/>
      <c r="E48" s="5">
        <f>IF($C48="","",ROUND($C48/Summary!$B$3*100,1))</f>
        <v>40</v>
      </c>
      <c r="F48" s="5" t="str">
        <f t="shared" si="4"/>
        <v>HEALTHY</v>
      </c>
      <c r="H48">
        <v>43</v>
      </c>
      <c r="I48" s="7" t="s">
        <v>109</v>
      </c>
      <c r="J48" s="3">
        <v>6.7</v>
      </c>
      <c r="K48" s="3"/>
      <c r="L48" s="5">
        <f>IF($J48="","",ROUND($J48/Summary!$B$3*100,1))</f>
        <v>49.6</v>
      </c>
      <c r="M48" s="5" t="str">
        <f t="shared" si="5"/>
        <v>HEALTHY</v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>
        <v>5.8</v>
      </c>
      <c r="D49" s="3"/>
      <c r="E49" s="5">
        <f>IF($C49="","",ROUND($C49/Summary!$B$3*100,1))</f>
        <v>43</v>
      </c>
      <c r="F49" s="5" t="str">
        <f t="shared" si="4"/>
        <v>HEALTHY</v>
      </c>
      <c r="H49">
        <v>44</v>
      </c>
      <c r="I49" s="7" t="s">
        <v>111</v>
      </c>
      <c r="J49" s="3">
        <v>6.3</v>
      </c>
      <c r="K49" s="3"/>
      <c r="L49" s="5">
        <f>IF($J49="","",ROUND($J49/Summary!$B$3*100,1))</f>
        <v>46.7</v>
      </c>
      <c r="M49" s="5" t="str">
        <f t="shared" si="5"/>
        <v>HEALTHY</v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>
        <v>5.9</v>
      </c>
      <c r="D50" s="3"/>
      <c r="E50" s="5">
        <f>IF($C50="","",ROUND($C50/Summary!$B$3*100,1))</f>
        <v>43.7</v>
      </c>
      <c r="F50" s="5" t="str">
        <f t="shared" si="4"/>
        <v>HEALTHY</v>
      </c>
      <c r="H50">
        <v>45</v>
      </c>
      <c r="I50" s="7" t="s">
        <v>46</v>
      </c>
      <c r="J50" s="3">
        <v>6.6</v>
      </c>
      <c r="K50" s="3"/>
      <c r="L50" s="5">
        <f>IF($J50="","",ROUND($J50/Summary!$B$3*100,1))</f>
        <v>48.9</v>
      </c>
      <c r="M50" s="5" t="str">
        <f t="shared" si="5"/>
        <v>HEALTHY</v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>
        <v>5.5</v>
      </c>
      <c r="D51" s="3"/>
      <c r="E51" s="5">
        <f>IF($C51="","",ROUND($C51/Summary!$B$3*100,1))</f>
        <v>40.700000000000003</v>
      </c>
      <c r="F51" s="5" t="str">
        <f t="shared" si="4"/>
        <v>HEALTHY</v>
      </c>
      <c r="H51">
        <v>46</v>
      </c>
      <c r="I51" s="7" t="s">
        <v>114</v>
      </c>
      <c r="J51" s="3">
        <v>6.5</v>
      </c>
      <c r="K51" s="3"/>
      <c r="L51" s="5">
        <f>IF($J51="","",ROUND($J51/Summary!$B$3*100,1))</f>
        <v>48.1</v>
      </c>
      <c r="M51" s="5" t="str">
        <f t="shared" si="5"/>
        <v>HEALTHY</v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>
        <v>5.5</v>
      </c>
      <c r="D52" s="3"/>
      <c r="E52" s="5">
        <f>IF($C52="","",ROUND($C52/Summary!$B$3*100,1))</f>
        <v>40.700000000000003</v>
      </c>
      <c r="F52" s="5" t="str">
        <f t="shared" si="4"/>
        <v>HEALTHY</v>
      </c>
      <c r="H52">
        <v>47</v>
      </c>
      <c r="I52" s="7" t="s">
        <v>116</v>
      </c>
      <c r="J52" s="3">
        <v>6.4</v>
      </c>
      <c r="K52" s="3"/>
      <c r="L52" s="5">
        <f>IF($J52="","",ROUND($J52/Summary!$B$3*100,1))</f>
        <v>47.4</v>
      </c>
      <c r="M52" s="5" t="str">
        <f t="shared" si="5"/>
        <v>HEALTHY</v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>
        <v>5.4</v>
      </c>
      <c r="D53" s="3"/>
      <c r="E53" s="5">
        <f>IF($C53="","",ROUND($C53/Summary!$B$3*100,1))</f>
        <v>40</v>
      </c>
      <c r="F53" s="5" t="str">
        <f t="shared" si="4"/>
        <v>HEALTHY</v>
      </c>
      <c r="H53">
        <v>48</v>
      </c>
      <c r="I53" s="7" t="s">
        <v>118</v>
      </c>
      <c r="J53" s="3">
        <v>6.6</v>
      </c>
      <c r="K53" s="3"/>
      <c r="L53" s="5">
        <f>IF($J53="","",ROUND($J53/Summary!$B$3*100,1))</f>
        <v>48.9</v>
      </c>
      <c r="M53" s="5" t="str">
        <f t="shared" si="5"/>
        <v>HEALTHY</v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>
        <v>5.5</v>
      </c>
      <c r="D54" s="3"/>
      <c r="E54" s="5">
        <f>IF($C54="","",ROUND($C54/Summary!$B$3*100,1))</f>
        <v>40.700000000000003</v>
      </c>
      <c r="F54" s="5" t="str">
        <f t="shared" si="4"/>
        <v>HEALTHY</v>
      </c>
      <c r="H54">
        <v>49</v>
      </c>
      <c r="I54" s="7" t="s">
        <v>48</v>
      </c>
      <c r="J54" s="3">
        <v>6.6</v>
      </c>
      <c r="K54" s="3"/>
      <c r="L54" s="5">
        <f>IF($J54="","",ROUND($J54/Summary!$B$3*100,1))</f>
        <v>48.9</v>
      </c>
      <c r="M54" s="5" t="str">
        <f t="shared" si="5"/>
        <v>HEALTHY</v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>
        <v>5.6</v>
      </c>
      <c r="D55" s="3"/>
      <c r="E55" s="5">
        <f>IF($C55="","",ROUND($C55/Summary!$B$3*100,1))</f>
        <v>41.5</v>
      </c>
      <c r="F55" s="5" t="str">
        <f t="shared" si="4"/>
        <v>HEALTHY</v>
      </c>
      <c r="H55">
        <v>50</v>
      </c>
      <c r="I55" s="7" t="s">
        <v>121</v>
      </c>
      <c r="J55" s="3">
        <v>6.7</v>
      </c>
      <c r="K55" s="3"/>
      <c r="L55" s="5">
        <f>IF($J55="","",ROUND($J55/Summary!$B$3*100,1))</f>
        <v>49.6</v>
      </c>
      <c r="M55" s="5" t="str">
        <f t="shared" si="5"/>
        <v>HEALTHY</v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50</v>
      </c>
      <c r="I58" s="8" t="s">
        <v>52</v>
      </c>
      <c r="J58" s="5">
        <f>COUNT(J6:J55)</f>
        <v>50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>
        <f>IFERROR(AVERAGE(C6:C55),"")</f>
        <v>5.5280000000000022</v>
      </c>
      <c r="I59" s="8" t="s">
        <v>55</v>
      </c>
      <c r="J59" s="5">
        <f>IFERROR(AVERAGE(J6:J55),"")</f>
        <v>5.969999999999998</v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 t="str">
        <f ca="1">IFERROR(_xludf.STDEV.S(C6:C55),"")</f>
        <v/>
      </c>
      <c r="I60" s="8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5.3</v>
      </c>
      <c r="I61" s="8" t="s">
        <v>60</v>
      </c>
      <c r="J61" s="5">
        <f>IFERROR(MIN(J6:J55),"")</f>
        <v>5.4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5.9</v>
      </c>
      <c r="I62" s="8" t="s">
        <v>63</v>
      </c>
      <c r="J62" s="5">
        <f>IFERROR(MAX(J6:J55),"")</f>
        <v>6.7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>
        <f>IF(COUNT(C6:C55)=0,"",MAX(C6:C55)-MIN(C6:C55))</f>
        <v>0.60000000000000053</v>
      </c>
      <c r="I63" s="8" t="s">
        <v>66</v>
      </c>
      <c r="J63" s="5">
        <f>IF(COUNT(J6:J55)=0,"",MAX(J6:J55)-MIN(J6:J55))</f>
        <v>1.2999999999999998</v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>
        <f>IFERROR(AVERAGE(E6:E55),"")</f>
        <v>40.934000000000019</v>
      </c>
      <c r="I64" s="8" t="s">
        <v>69</v>
      </c>
      <c r="J64" s="5">
        <f>IFERROR(AVERAGE(L6:L55),"")</f>
        <v>44.208000000000027</v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9"/>
  <sheetViews>
    <sheetView tabSelected="1"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4.42578125" customWidth="1"/>
    <col min="9" max="9" width="10" customWidth="1"/>
    <col min="10" max="10" width="9" customWidth="1"/>
    <col min="11" max="12" width="8" customWidth="1"/>
    <col min="13" max="13" width="11" customWidth="1"/>
    <col min="14" max="14" width="2" customWidth="1"/>
    <col min="15" max="15" width="4.425781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129</v>
      </c>
    </row>
    <row r="2" spans="1:27" x14ac:dyDescent="0.25">
      <c r="A2" t="s">
        <v>1</v>
      </c>
      <c r="B2" s="3"/>
      <c r="C2" t="s">
        <v>2</v>
      </c>
      <c r="D2" s="3"/>
      <c r="H2" t="s">
        <v>3</v>
      </c>
      <c r="I2" s="3"/>
      <c r="O2" t="s">
        <v>4</v>
      </c>
      <c r="P2" s="3"/>
      <c r="V2" t="s">
        <v>5</v>
      </c>
      <c r="W2" s="5">
        <f>Summary!$B$3</f>
        <v>13.5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14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/>
      <c r="D6" s="3"/>
      <c r="E6" s="5" t="str">
        <f>IF($C6="","",ROUND($C6/Summary!$B$3*100,1))</f>
        <v/>
      </c>
      <c r="F6" s="5" t="str">
        <f t="shared" ref="F6:F37" si="0">IF($C6="","",IF($C6&lt;2,"LETHAL",IF($C6&lt;4,"CRITICAL",IF($C6&lt;5,"LOW",IF($C6&lt;=8,"HEALTHY","SUPERSAT")))))</f>
        <v/>
      </c>
      <c r="H6">
        <v>1</v>
      </c>
      <c r="I6" s="7" t="s">
        <v>16</v>
      </c>
      <c r="J6" s="3"/>
      <c r="K6" s="3"/>
      <c r="L6" s="5" t="str">
        <f>IF($J6="","",ROUND($J6/Summary!$B$3*100,1))</f>
        <v/>
      </c>
      <c r="M6" s="5" t="str">
        <f t="shared" ref="M6:M37" si="1">IF($J6="","",IF($J6&lt;2,"LETHAL",IF($J6&lt;4,"CRITICAL",IF($J6&lt;5,"LOW",IF($J6&lt;=8,"HEALTHY","SUPERSAT")))))</f>
        <v/>
      </c>
      <c r="O6">
        <v>1</v>
      </c>
      <c r="P6" s="7" t="s">
        <v>17</v>
      </c>
      <c r="Q6" s="3"/>
      <c r="R6" s="3"/>
      <c r="S6" s="5" t="str">
        <f>IF($Q6="","",ROUND($Q6/Summary!$B$3*100,1))</f>
        <v/>
      </c>
      <c r="T6" s="5" t="str">
        <f t="shared" ref="T6:T16" si="2">IF($Q6="","",IF($Q6&lt;2,"LETHAL",IF($Q6&lt;4,"CRITICAL",IF($Q6&lt;5,"LOW",IF($Q6&lt;=8,"HEALTHY","SUPERSAT")))))</f>
        <v/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/>
      <c r="D7" s="3"/>
      <c r="E7" s="5" t="str">
        <f>IF($C7="","",ROUND($C7/Summary!$B$3*100,1))</f>
        <v/>
      </c>
      <c r="F7" s="5" t="str">
        <f t="shared" si="0"/>
        <v/>
      </c>
      <c r="H7">
        <v>2</v>
      </c>
      <c r="I7" s="7" t="s">
        <v>19</v>
      </c>
      <c r="J7" s="3"/>
      <c r="K7" s="3"/>
      <c r="L7" s="5" t="str">
        <f>IF($J7="","",ROUND($J7/Summary!$B$3*100,1))</f>
        <v/>
      </c>
      <c r="M7" s="5" t="str">
        <f t="shared" si="1"/>
        <v/>
      </c>
      <c r="O7">
        <v>2</v>
      </c>
      <c r="P7" s="7" t="s">
        <v>20</v>
      </c>
      <c r="Q7" s="3"/>
      <c r="R7" s="3"/>
      <c r="S7" s="5" t="str">
        <f>IF($Q7="","",ROUND($Q7/Summary!$B$3*100,1))</f>
        <v/>
      </c>
      <c r="T7" s="5" t="str">
        <f t="shared" si="2"/>
        <v/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/>
      <c r="D8" s="3"/>
      <c r="E8" s="5" t="str">
        <f>IF($C8="","",ROUND($C8/Summary!$B$3*100,1))</f>
        <v/>
      </c>
      <c r="F8" s="5" t="str">
        <f t="shared" si="0"/>
        <v/>
      </c>
      <c r="H8">
        <v>3</v>
      </c>
      <c r="I8" s="7" t="s">
        <v>22</v>
      </c>
      <c r="J8" s="3"/>
      <c r="K8" s="3"/>
      <c r="L8" s="5" t="str">
        <f>IF($J8="","",ROUND($J8/Summary!$B$3*100,1))</f>
        <v/>
      </c>
      <c r="M8" s="5" t="str">
        <f t="shared" si="1"/>
        <v/>
      </c>
      <c r="O8">
        <v>3</v>
      </c>
      <c r="P8" s="7" t="s">
        <v>23</v>
      </c>
      <c r="Q8" s="3"/>
      <c r="R8" s="3"/>
      <c r="S8" s="5" t="str">
        <f>IF($Q8="","",ROUND($Q8/Summary!$B$3*100,1))</f>
        <v/>
      </c>
      <c r="T8" s="5" t="str">
        <f t="shared" si="2"/>
        <v/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/>
      <c r="D9" s="3"/>
      <c r="E9" s="5" t="str">
        <f>IF($C9="","",ROUND($C9/Summary!$B$3*100,1))</f>
        <v/>
      </c>
      <c r="F9" s="5" t="str">
        <f t="shared" si="0"/>
        <v/>
      </c>
      <c r="H9">
        <v>4</v>
      </c>
      <c r="I9" s="7" t="s">
        <v>25</v>
      </c>
      <c r="J9" s="3"/>
      <c r="K9" s="3"/>
      <c r="L9" s="5" t="str">
        <f>IF($J9="","",ROUND($J9/Summary!$B$3*100,1))</f>
        <v/>
      </c>
      <c r="M9" s="5" t="str">
        <f t="shared" si="1"/>
        <v/>
      </c>
      <c r="O9">
        <v>4</v>
      </c>
      <c r="P9" s="7" t="s">
        <v>26</v>
      </c>
      <c r="Q9" s="3"/>
      <c r="R9" s="3"/>
      <c r="S9" s="5" t="str">
        <f>IF($Q9="","",ROUND($Q9/Summary!$B$3*100,1))</f>
        <v/>
      </c>
      <c r="T9" s="5" t="str">
        <f t="shared" si="2"/>
        <v/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/>
      <c r="D10" s="3"/>
      <c r="E10" s="5" t="str">
        <f>IF($C10="","",ROUND($C10/Summary!$B$3*100,1))</f>
        <v/>
      </c>
      <c r="F10" s="5" t="str">
        <f t="shared" si="0"/>
        <v/>
      </c>
      <c r="H10">
        <v>5</v>
      </c>
      <c r="I10" s="7" t="s">
        <v>18</v>
      </c>
      <c r="J10" s="3"/>
      <c r="K10" s="3"/>
      <c r="L10" s="5" t="str">
        <f>IF($J10="","",ROUND($J10/Summary!$B$3*100,1))</f>
        <v/>
      </c>
      <c r="M10" s="5" t="str">
        <f t="shared" si="1"/>
        <v/>
      </c>
      <c r="O10">
        <v>5</v>
      </c>
      <c r="P10" s="7" t="s">
        <v>28</v>
      </c>
      <c r="Q10" s="3"/>
      <c r="R10" s="3"/>
      <c r="S10" s="5" t="str">
        <f>IF($Q10="","",ROUND($Q10/Summary!$B$3*100,1))</f>
        <v/>
      </c>
      <c r="T10" s="5" t="str">
        <f t="shared" si="2"/>
        <v/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/>
      <c r="D11" s="3"/>
      <c r="E11" s="5" t="str">
        <f>IF($C11="","",ROUND($C11/Summary!$B$3*100,1))</f>
        <v/>
      </c>
      <c r="F11" s="5" t="str">
        <f t="shared" si="0"/>
        <v/>
      </c>
      <c r="H11">
        <v>6</v>
      </c>
      <c r="I11" s="7" t="s">
        <v>30</v>
      </c>
      <c r="J11" s="3"/>
      <c r="K11" s="3"/>
      <c r="L11" s="5" t="str">
        <f>IF($J11="","",ROUND($J11/Summary!$B$3*100,1))</f>
        <v/>
      </c>
      <c r="M11" s="5" t="str">
        <f t="shared" si="1"/>
        <v/>
      </c>
      <c r="O11">
        <v>6</v>
      </c>
      <c r="P11" s="7" t="s">
        <v>31</v>
      </c>
      <c r="Q11" s="3"/>
      <c r="R11" s="3"/>
      <c r="S11" s="5" t="str">
        <f>IF($Q11="","",ROUND($Q11/Summary!$B$3*100,1))</f>
        <v/>
      </c>
      <c r="T11" s="5" t="str">
        <f t="shared" si="2"/>
        <v/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/>
      <c r="D12" s="3"/>
      <c r="E12" s="5" t="str">
        <f>IF($C12="","",ROUND($C12/Summary!$B$3*100,1))</f>
        <v/>
      </c>
      <c r="F12" s="5" t="str">
        <f t="shared" si="0"/>
        <v/>
      </c>
      <c r="H12">
        <v>7</v>
      </c>
      <c r="I12" s="7" t="s">
        <v>33</v>
      </c>
      <c r="J12" s="3"/>
      <c r="K12" s="3"/>
      <c r="L12" s="5" t="str">
        <f>IF($J12="","",ROUND($J12/Summary!$B$3*100,1))</f>
        <v/>
      </c>
      <c r="M12" s="5" t="str">
        <f t="shared" si="1"/>
        <v/>
      </c>
      <c r="O12">
        <v>7</v>
      </c>
      <c r="P12" s="7" t="s">
        <v>34</v>
      </c>
      <c r="Q12" s="3"/>
      <c r="R12" s="3"/>
      <c r="S12" s="5" t="str">
        <f>IF($Q12="","",ROUND($Q12/Summary!$B$3*100,1))</f>
        <v/>
      </c>
      <c r="T12" s="5" t="str">
        <f t="shared" si="2"/>
        <v/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/>
      <c r="D13" s="3"/>
      <c r="E13" s="5" t="str">
        <f>IF($C13="","",ROUND($C13/Summary!$B$3*100,1))</f>
        <v/>
      </c>
      <c r="F13" s="5" t="str">
        <f t="shared" si="0"/>
        <v/>
      </c>
      <c r="H13">
        <v>8</v>
      </c>
      <c r="I13" s="7" t="s">
        <v>36</v>
      </c>
      <c r="J13" s="3"/>
      <c r="K13" s="3"/>
      <c r="L13" s="5" t="str">
        <f>IF($J13="","",ROUND($J13/Summary!$B$3*100,1))</f>
        <v/>
      </c>
      <c r="M13" s="5" t="str">
        <f t="shared" si="1"/>
        <v/>
      </c>
      <c r="O13">
        <v>8</v>
      </c>
      <c r="P13" s="7" t="s">
        <v>37</v>
      </c>
      <c r="Q13" s="3"/>
      <c r="R13" s="3"/>
      <c r="S13" s="5" t="str">
        <f>IF($Q13="","",ROUND($Q13/Summary!$B$3*100,1))</f>
        <v/>
      </c>
      <c r="T13" s="5" t="str">
        <f t="shared" si="2"/>
        <v/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/>
      <c r="D14" s="3"/>
      <c r="E14" s="5" t="str">
        <f>IF($C14="","",ROUND($C14/Summary!$B$3*100,1))</f>
        <v/>
      </c>
      <c r="F14" s="5" t="str">
        <f t="shared" si="0"/>
        <v/>
      </c>
      <c r="H14">
        <v>9</v>
      </c>
      <c r="I14" s="7" t="s">
        <v>21</v>
      </c>
      <c r="J14" s="3"/>
      <c r="K14" s="3"/>
      <c r="L14" s="5" t="str">
        <f>IF($J14="","",ROUND($J14/Summary!$B$3*100,1))</f>
        <v/>
      </c>
      <c r="M14" s="5" t="str">
        <f t="shared" si="1"/>
        <v/>
      </c>
      <c r="O14">
        <v>9</v>
      </c>
      <c r="P14" s="7" t="s">
        <v>39</v>
      </c>
      <c r="Q14" s="3"/>
      <c r="R14" s="3"/>
      <c r="S14" s="5" t="str">
        <f>IF($Q14="","",ROUND($Q14/Summary!$B$3*100,1))</f>
        <v/>
      </c>
      <c r="T14" s="5" t="str">
        <f t="shared" si="2"/>
        <v/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/>
      <c r="D15" s="3"/>
      <c r="E15" s="5" t="str">
        <f>IF($C15="","",ROUND($C15/Summary!$B$3*100,1))</f>
        <v/>
      </c>
      <c r="F15" s="5" t="str">
        <f t="shared" si="0"/>
        <v/>
      </c>
      <c r="H15">
        <v>10</v>
      </c>
      <c r="I15" s="7" t="s">
        <v>41</v>
      </c>
      <c r="J15" s="3"/>
      <c r="K15" s="3"/>
      <c r="L15" s="5" t="str">
        <f>IF($J15="","",ROUND($J15/Summary!$B$3*100,1))</f>
        <v/>
      </c>
      <c r="M15" s="5" t="str">
        <f t="shared" si="1"/>
        <v/>
      </c>
      <c r="O15">
        <v>10</v>
      </c>
      <c r="P15" s="7" t="s">
        <v>42</v>
      </c>
      <c r="Q15" s="3"/>
      <c r="R15" s="3"/>
      <c r="S15" s="5" t="str">
        <f>IF($Q15="","",ROUND($Q15/Summary!$B$3*100,1))</f>
        <v/>
      </c>
      <c r="T15" s="5" t="str">
        <f t="shared" si="2"/>
        <v/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/>
      <c r="D16" s="3"/>
      <c r="E16" s="5" t="str">
        <f>IF($C16="","",ROUND($C16/Summary!$B$3*100,1))</f>
        <v/>
      </c>
      <c r="F16" s="5" t="str">
        <f t="shared" si="0"/>
        <v/>
      </c>
      <c r="H16">
        <v>11</v>
      </c>
      <c r="I16" s="7" t="s">
        <v>44</v>
      </c>
      <c r="J16" s="3"/>
      <c r="K16" s="3"/>
      <c r="L16" s="5" t="str">
        <f>IF($J16="","",ROUND($J16/Summary!$B$3*100,1))</f>
        <v/>
      </c>
      <c r="M16" s="5" t="str">
        <f t="shared" si="1"/>
        <v/>
      </c>
      <c r="O16">
        <v>11</v>
      </c>
      <c r="P16" s="7" t="s">
        <v>45</v>
      </c>
      <c r="Q16" s="3"/>
      <c r="R16" s="3"/>
      <c r="S16" s="5" t="str">
        <f>IF($Q16="","",ROUND($Q16/Summary!$B$3*100,1))</f>
        <v/>
      </c>
      <c r="T16" s="5" t="str">
        <f t="shared" si="2"/>
        <v/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/>
      <c r="D17" s="3"/>
      <c r="E17" s="5" t="str">
        <f>IF($C17="","",ROUND($C17/Summary!$B$3*100,1))</f>
        <v/>
      </c>
      <c r="F17" s="5" t="str">
        <f t="shared" si="0"/>
        <v/>
      </c>
      <c r="H17">
        <v>12</v>
      </c>
      <c r="I17" s="7" t="s">
        <v>47</v>
      </c>
      <c r="J17" s="3"/>
      <c r="K17" s="3"/>
      <c r="L17" s="5" t="str">
        <f>IF($J17="","",ROUND($J17/Summary!$B$3*100,1))</f>
        <v/>
      </c>
      <c r="M17" s="5" t="str">
        <f t="shared" si="1"/>
        <v/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/>
      <c r="D18" s="3"/>
      <c r="E18" s="5" t="str">
        <f>IF($C18="","",ROUND($C18/Summary!$B$3*100,1))</f>
        <v/>
      </c>
      <c r="F18" s="5" t="str">
        <f t="shared" si="0"/>
        <v/>
      </c>
      <c r="H18">
        <v>13</v>
      </c>
      <c r="I18" s="7" t="s">
        <v>24</v>
      </c>
      <c r="J18" s="3"/>
      <c r="K18" s="3"/>
      <c r="L18" s="5" t="str">
        <f>IF($J18="","",ROUND($J18/Summary!$B$3*100,1))</f>
        <v/>
      </c>
      <c r="M18" s="5" t="str">
        <f t="shared" si="1"/>
        <v/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/>
      <c r="D19" s="3"/>
      <c r="E19" s="5" t="str">
        <f>IF($C19="","",ROUND($C19/Summary!$B$3*100,1))</f>
        <v/>
      </c>
      <c r="F19" s="5" t="str">
        <f t="shared" si="0"/>
        <v/>
      </c>
      <c r="H19">
        <v>14</v>
      </c>
      <c r="I19" s="7" t="s">
        <v>51</v>
      </c>
      <c r="J19" s="3"/>
      <c r="K19" s="3"/>
      <c r="L19" s="5" t="str">
        <f>IF($J19="","",ROUND($J19/Summary!$B$3*100,1))</f>
        <v/>
      </c>
      <c r="M19" s="5" t="str">
        <f t="shared" si="1"/>
        <v/>
      </c>
      <c r="P19" s="8" t="s">
        <v>52</v>
      </c>
      <c r="Q19" s="5">
        <f>COUNT(Q6:Q16)</f>
        <v>0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/>
      <c r="D20" s="3"/>
      <c r="E20" s="5" t="str">
        <f>IF($C20="","",ROUND($C20/Summary!$B$3*100,1))</f>
        <v/>
      </c>
      <c r="F20" s="5" t="str">
        <f t="shared" si="0"/>
        <v/>
      </c>
      <c r="H20">
        <v>15</v>
      </c>
      <c r="I20" s="7" t="s">
        <v>54</v>
      </c>
      <c r="J20" s="3"/>
      <c r="K20" s="3"/>
      <c r="L20" s="5" t="str">
        <f>IF($J20="","",ROUND($J20/Summary!$B$3*100,1))</f>
        <v/>
      </c>
      <c r="M20" s="5" t="str">
        <f t="shared" si="1"/>
        <v/>
      </c>
      <c r="P20" s="8" t="s">
        <v>55</v>
      </c>
      <c r="Q20" s="5" t="str">
        <f>IFERROR(AVERAGE(Q6:Q16),"")</f>
        <v/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/>
      <c r="D21" s="3"/>
      <c r="E21" s="5" t="str">
        <f>IF($C21="","",ROUND($C21/Summary!$B$3*100,1))</f>
        <v/>
      </c>
      <c r="F21" s="5" t="str">
        <f t="shared" si="0"/>
        <v/>
      </c>
      <c r="H21">
        <v>16</v>
      </c>
      <c r="I21" s="7" t="s">
        <v>57</v>
      </c>
      <c r="J21" s="3"/>
      <c r="K21" s="3"/>
      <c r="L21" s="5" t="str">
        <f>IF($J21="","",ROUND($J21/Summary!$B$3*100,1))</f>
        <v/>
      </c>
      <c r="M21" s="5" t="str">
        <f t="shared" si="1"/>
        <v/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/>
      <c r="D22" s="3"/>
      <c r="E22" s="5" t="str">
        <f>IF($C22="","",ROUND($C22/Summary!$B$3*100,1))</f>
        <v/>
      </c>
      <c r="F22" s="5" t="str">
        <f t="shared" si="0"/>
        <v/>
      </c>
      <c r="H22">
        <v>17</v>
      </c>
      <c r="I22" s="7" t="s">
        <v>27</v>
      </c>
      <c r="J22" s="3"/>
      <c r="K22" s="3"/>
      <c r="L22" s="5" t="str">
        <f>IF($J22="","",ROUND($J22/Summary!$B$3*100,1))</f>
        <v/>
      </c>
      <c r="M22" s="5" t="str">
        <f t="shared" si="1"/>
        <v/>
      </c>
      <c r="P22" s="8" t="s">
        <v>60</v>
      </c>
      <c r="Q22" s="5">
        <f>IFERROR(MIN(Q6:Q16),"")</f>
        <v>0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/>
      <c r="D23" s="3"/>
      <c r="E23" s="5" t="str">
        <f>IF($C23="","",ROUND($C23/Summary!$B$3*100,1))</f>
        <v/>
      </c>
      <c r="F23" s="5" t="str">
        <f t="shared" si="0"/>
        <v/>
      </c>
      <c r="H23">
        <v>18</v>
      </c>
      <c r="I23" s="7" t="s">
        <v>62</v>
      </c>
      <c r="J23" s="3"/>
      <c r="K23" s="3"/>
      <c r="L23" s="5" t="str">
        <f>IF($J23="","",ROUND($J23/Summary!$B$3*100,1))</f>
        <v/>
      </c>
      <c r="M23" s="5" t="str">
        <f t="shared" si="1"/>
        <v/>
      </c>
      <c r="P23" s="8" t="s">
        <v>63</v>
      </c>
      <c r="Q23" s="5">
        <f>IFERROR(MAX(Q6:Q16),"")</f>
        <v>0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/>
      <c r="D24" s="3"/>
      <c r="E24" s="5" t="str">
        <f>IF($C24="","",ROUND($C24/Summary!$B$3*100,1))</f>
        <v/>
      </c>
      <c r="F24" s="5" t="str">
        <f t="shared" si="0"/>
        <v/>
      </c>
      <c r="H24">
        <v>19</v>
      </c>
      <c r="I24" s="7" t="s">
        <v>65</v>
      </c>
      <c r="J24" s="3"/>
      <c r="K24" s="3"/>
      <c r="L24" s="5" t="str">
        <f>IF($J24="","",ROUND($J24/Summary!$B$3*100,1))</f>
        <v/>
      </c>
      <c r="M24" s="5" t="str">
        <f t="shared" si="1"/>
        <v/>
      </c>
      <c r="P24" s="8" t="s">
        <v>66</v>
      </c>
      <c r="Q24" s="5" t="str">
        <f>IF(COUNT(Q6:Q16)=0,"",MAX(Q6:Q16)-MIN(Q6:Q16))</f>
        <v/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/>
      <c r="D25" s="3"/>
      <c r="E25" s="5" t="str">
        <f>IF($C25="","",ROUND($C25/Summary!$B$3*100,1))</f>
        <v/>
      </c>
      <c r="F25" s="5" t="str">
        <f t="shared" si="0"/>
        <v/>
      </c>
      <c r="H25">
        <v>20</v>
      </c>
      <c r="I25" s="7" t="s">
        <v>68</v>
      </c>
      <c r="J25" s="3"/>
      <c r="K25" s="3"/>
      <c r="L25" s="5" t="str">
        <f>IF($J25="","",ROUND($J25/Summary!$B$3*100,1))</f>
        <v/>
      </c>
      <c r="M25" s="5" t="str">
        <f t="shared" si="1"/>
        <v/>
      </c>
      <c r="P25" s="8" t="s">
        <v>69</v>
      </c>
      <c r="Q25" s="5" t="str">
        <f>IFERROR(AVERAGE(S6:S16),"")</f>
        <v/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/>
      <c r="D26" s="3"/>
      <c r="E26" s="5" t="str">
        <f>IF($C26="","",ROUND($C26/Summary!$B$3*100,1))</f>
        <v/>
      </c>
      <c r="F26" s="5" t="str">
        <f t="shared" si="0"/>
        <v/>
      </c>
      <c r="H26">
        <v>21</v>
      </c>
      <c r="I26" s="7" t="s">
        <v>29</v>
      </c>
      <c r="J26" s="3"/>
      <c r="K26" s="3"/>
      <c r="L26" s="5" t="str">
        <f>IF($J26="","",ROUND($J26/Summary!$B$3*100,1))</f>
        <v/>
      </c>
      <c r="M26" s="5" t="str">
        <f t="shared" si="1"/>
        <v/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/>
      <c r="D27" s="3"/>
      <c r="E27" s="5" t="str">
        <f>IF($C27="","",ROUND($C27/Summary!$B$3*100,1))</f>
        <v/>
      </c>
      <c r="F27" s="5" t="str">
        <f t="shared" si="0"/>
        <v/>
      </c>
      <c r="H27">
        <v>22</v>
      </c>
      <c r="I27" s="7" t="s">
        <v>72</v>
      </c>
      <c r="J27" s="3"/>
      <c r="K27" s="3"/>
      <c r="L27" s="5" t="str">
        <f>IF($J27="","",ROUND($J27/Summary!$B$3*100,1))</f>
        <v/>
      </c>
      <c r="M27" s="5" t="str">
        <f t="shared" si="1"/>
        <v/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/>
      <c r="D28" s="3"/>
      <c r="E28" s="5" t="str">
        <f>IF($C28="","",ROUND($C28/Summary!$B$3*100,1))</f>
        <v/>
      </c>
      <c r="F28" s="5" t="str">
        <f t="shared" si="0"/>
        <v/>
      </c>
      <c r="H28">
        <v>23</v>
      </c>
      <c r="I28" s="7" t="s">
        <v>74</v>
      </c>
      <c r="J28" s="3"/>
      <c r="K28" s="3"/>
      <c r="L28" s="5" t="str">
        <f>IF($J28="","",ROUND($J28/Summary!$B$3*100,1))</f>
        <v/>
      </c>
      <c r="M28" s="5" t="str">
        <f t="shared" si="1"/>
        <v/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/>
      <c r="D29" s="3"/>
      <c r="E29" s="5" t="str">
        <f>IF($C29="","",ROUND($C29/Summary!$B$3*100,1))</f>
        <v/>
      </c>
      <c r="F29" s="5" t="str">
        <f t="shared" si="0"/>
        <v/>
      </c>
      <c r="H29">
        <v>24</v>
      </c>
      <c r="I29" s="7" t="s">
        <v>76</v>
      </c>
      <c r="J29" s="3"/>
      <c r="K29" s="3"/>
      <c r="L29" s="5" t="str">
        <f>IF($J29="","",ROUND($J29/Summary!$B$3*100,1))</f>
        <v/>
      </c>
      <c r="M29" s="5" t="str">
        <f t="shared" si="1"/>
        <v/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/>
      <c r="D30" s="3"/>
      <c r="E30" s="5" t="str">
        <f>IF($C30="","",ROUND($C30/Summary!$B$3*100,1))</f>
        <v/>
      </c>
      <c r="F30" s="5" t="str">
        <f t="shared" si="0"/>
        <v/>
      </c>
      <c r="H30">
        <v>25</v>
      </c>
      <c r="I30" s="7" t="s">
        <v>32</v>
      </c>
      <c r="J30" s="3"/>
      <c r="K30" s="3"/>
      <c r="L30" s="5" t="str">
        <f>IF($J30="","",ROUND($J30/Summary!$B$3*100,1))</f>
        <v/>
      </c>
      <c r="M30" s="5" t="str">
        <f t="shared" si="1"/>
        <v/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/>
      <c r="D31" s="3"/>
      <c r="E31" s="5" t="str">
        <f>IF($C31="","",ROUND($C31/Summary!$B$3*100,1))</f>
        <v/>
      </c>
      <c r="F31" s="5" t="str">
        <f t="shared" si="0"/>
        <v/>
      </c>
      <c r="H31">
        <v>26</v>
      </c>
      <c r="I31" s="7" t="s">
        <v>79</v>
      </c>
      <c r="J31" s="3"/>
      <c r="K31" s="3"/>
      <c r="L31" s="5" t="str">
        <f>IF($J31="","",ROUND($J31/Summary!$B$3*100,1))</f>
        <v/>
      </c>
      <c r="M31" s="5" t="str">
        <f t="shared" si="1"/>
        <v/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/>
      <c r="D32" s="3"/>
      <c r="E32" s="5" t="str">
        <f>IF($C32="","",ROUND($C32/Summary!$B$3*100,1))</f>
        <v/>
      </c>
      <c r="F32" s="5" t="str">
        <f t="shared" si="0"/>
        <v/>
      </c>
      <c r="H32">
        <v>27</v>
      </c>
      <c r="I32" s="7" t="s">
        <v>81</v>
      </c>
      <c r="J32" s="3"/>
      <c r="K32" s="3"/>
      <c r="L32" s="5" t="str">
        <f>IF($J32="","",ROUND($J32/Summary!$B$3*100,1))</f>
        <v/>
      </c>
      <c r="M32" s="5" t="str">
        <f t="shared" si="1"/>
        <v/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/>
      <c r="D33" s="3"/>
      <c r="E33" s="5" t="str">
        <f>IF($C33="","",ROUND($C33/Summary!$B$3*100,1))</f>
        <v/>
      </c>
      <c r="F33" s="5" t="str">
        <f t="shared" si="0"/>
        <v/>
      </c>
      <c r="H33">
        <v>28</v>
      </c>
      <c r="I33" s="7" t="s">
        <v>83</v>
      </c>
      <c r="J33" s="3"/>
      <c r="K33" s="3"/>
      <c r="L33" s="5" t="str">
        <f>IF($J33="","",ROUND($J33/Summary!$B$3*100,1))</f>
        <v/>
      </c>
      <c r="M33" s="5" t="str">
        <f t="shared" si="1"/>
        <v/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/>
      <c r="D34" s="3"/>
      <c r="E34" s="5" t="str">
        <f>IF($C34="","",ROUND($C34/Summary!$B$3*100,1))</f>
        <v/>
      </c>
      <c r="F34" s="5" t="str">
        <f t="shared" si="0"/>
        <v/>
      </c>
      <c r="H34">
        <v>29</v>
      </c>
      <c r="I34" s="7" t="s">
        <v>35</v>
      </c>
      <c r="J34" s="3"/>
      <c r="K34" s="3"/>
      <c r="L34" s="5" t="str">
        <f>IF($J34="","",ROUND($J34/Summary!$B$3*100,1))</f>
        <v/>
      </c>
      <c r="M34" s="5" t="str">
        <f t="shared" si="1"/>
        <v/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3"/>
      <c r="D35" s="3"/>
      <c r="E35" s="5" t="str">
        <f>IF($C35="","",ROUND($C35/Summary!$B$3*100,1))</f>
        <v/>
      </c>
      <c r="F35" s="5" t="str">
        <f t="shared" si="0"/>
        <v/>
      </c>
      <c r="H35">
        <v>30</v>
      </c>
      <c r="I35" s="7" t="s">
        <v>86</v>
      </c>
      <c r="J35" s="3"/>
      <c r="K35" s="3"/>
      <c r="L35" s="5" t="str">
        <f>IF($J35="","",ROUND($J35/Summary!$B$3*100,1))</f>
        <v/>
      </c>
      <c r="M35" s="5" t="str">
        <f t="shared" si="1"/>
        <v/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/>
      <c r="D36" s="3"/>
      <c r="E36" s="5" t="str">
        <f>IF($C36="","",ROUND($C36/Summary!$B$3*100,1))</f>
        <v/>
      </c>
      <c r="F36" s="5" t="str">
        <f t="shared" si="0"/>
        <v/>
      </c>
      <c r="H36">
        <v>31</v>
      </c>
      <c r="I36" s="7" t="s">
        <v>88</v>
      </c>
      <c r="J36" s="3"/>
      <c r="K36" s="3"/>
      <c r="L36" s="5" t="str">
        <f>IF($J36="","",ROUND($J36/Summary!$B$3*100,1))</f>
        <v/>
      </c>
      <c r="M36" s="5" t="str">
        <f t="shared" si="1"/>
        <v/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/>
      <c r="D37" s="3"/>
      <c r="E37" s="5" t="str">
        <f>IF($C37="","",ROUND($C37/Summary!$B$3*100,1))</f>
        <v/>
      </c>
      <c r="F37" s="5" t="str">
        <f t="shared" si="0"/>
        <v/>
      </c>
      <c r="H37">
        <v>32</v>
      </c>
      <c r="I37" s="7" t="s">
        <v>90</v>
      </c>
      <c r="J37" s="3"/>
      <c r="K37" s="3"/>
      <c r="L37" s="5" t="str">
        <f>IF($J37="","",ROUND($J37/Summary!$B$3*100,1))</f>
        <v/>
      </c>
      <c r="M37" s="5" t="str">
        <f t="shared" si="1"/>
        <v/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/>
      <c r="D38" s="3"/>
      <c r="E38" s="5" t="str">
        <f>IF($C38="","",ROUND($C38/Summary!$B$3*100,1))</f>
        <v/>
      </c>
      <c r="F38" s="5" t="str">
        <f t="shared" ref="F38:F55" si="4">IF($C38="","",IF($C38&lt;2,"LETHAL",IF($C38&lt;4,"CRITICAL",IF($C38&lt;5,"LOW",IF($C38&lt;=8,"HEALTHY","SUPERSAT")))))</f>
        <v/>
      </c>
      <c r="H38">
        <v>33</v>
      </c>
      <c r="I38" s="7" t="s">
        <v>38</v>
      </c>
      <c r="J38" s="3"/>
      <c r="K38" s="3"/>
      <c r="L38" s="5" t="str">
        <f>IF($J38="","",ROUND($J38/Summary!$B$3*100,1))</f>
        <v/>
      </c>
      <c r="M38" s="5" t="str">
        <f t="shared" ref="M38:M55" si="5">IF($J38="","",IF($J38&lt;2,"LETHAL",IF($J38&lt;4,"CRITICAL",IF($J38&lt;5,"LOW",IF($J38&lt;=8,"HEALTHY","SUPERSAT")))))</f>
        <v/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/>
      <c r="D39" s="3"/>
      <c r="E39" s="5" t="str">
        <f>IF($C39="","",ROUND($C39/Summary!$B$3*100,1))</f>
        <v/>
      </c>
      <c r="F39" s="5" t="str">
        <f t="shared" si="4"/>
        <v/>
      </c>
      <c r="H39">
        <v>34</v>
      </c>
      <c r="I39" s="7" t="s">
        <v>93</v>
      </c>
      <c r="J39" s="3"/>
      <c r="K39" s="3"/>
      <c r="L39" s="5" t="str">
        <f>IF($J39="","",ROUND($J39/Summary!$B$3*100,1))</f>
        <v/>
      </c>
      <c r="M39" s="5" t="str">
        <f t="shared" si="5"/>
        <v/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/>
      <c r="D40" s="3"/>
      <c r="E40" s="5" t="str">
        <f>IF($C40="","",ROUND($C40/Summary!$B$3*100,1))</f>
        <v/>
      </c>
      <c r="F40" s="5" t="str">
        <f t="shared" si="4"/>
        <v/>
      </c>
      <c r="H40">
        <v>35</v>
      </c>
      <c r="I40" s="7" t="s">
        <v>95</v>
      </c>
      <c r="J40" s="3"/>
      <c r="K40" s="3"/>
      <c r="L40" s="5" t="str">
        <f>IF($J40="","",ROUND($J40/Summary!$B$3*100,1))</f>
        <v/>
      </c>
      <c r="M40" s="5" t="str">
        <f t="shared" si="5"/>
        <v/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/>
      <c r="D41" s="3"/>
      <c r="E41" s="5" t="str">
        <f>IF($C41="","",ROUND($C41/Summary!$B$3*100,1))</f>
        <v/>
      </c>
      <c r="F41" s="5" t="str">
        <f t="shared" si="4"/>
        <v/>
      </c>
      <c r="H41">
        <v>36</v>
      </c>
      <c r="I41" s="7" t="s">
        <v>97</v>
      </c>
      <c r="J41" s="3"/>
      <c r="K41" s="3"/>
      <c r="L41" s="5" t="str">
        <f>IF($J41="","",ROUND($J41/Summary!$B$3*100,1))</f>
        <v/>
      </c>
      <c r="M41" s="5" t="str">
        <f t="shared" si="5"/>
        <v/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/>
      <c r="D42" s="3"/>
      <c r="E42" s="5" t="str">
        <f>IF($C42="","",ROUND($C42/Summary!$B$3*100,1))</f>
        <v/>
      </c>
      <c r="F42" s="5" t="str">
        <f t="shared" si="4"/>
        <v/>
      </c>
      <c r="H42">
        <v>37</v>
      </c>
      <c r="I42" s="7" t="s">
        <v>40</v>
      </c>
      <c r="J42" s="3"/>
      <c r="K42" s="3"/>
      <c r="L42" s="5" t="str">
        <f>IF($J42="","",ROUND($J42/Summary!$B$3*100,1))</f>
        <v/>
      </c>
      <c r="M42" s="5" t="str">
        <f t="shared" si="5"/>
        <v/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/>
      <c r="D43" s="3"/>
      <c r="E43" s="5" t="str">
        <f>IF($C43="","",ROUND($C43/Summary!$B$3*100,1))</f>
        <v/>
      </c>
      <c r="F43" s="5" t="str">
        <f t="shared" si="4"/>
        <v/>
      </c>
      <c r="H43">
        <v>38</v>
      </c>
      <c r="I43" s="7" t="s">
        <v>100</v>
      </c>
      <c r="J43" s="3"/>
      <c r="K43" s="3"/>
      <c r="L43" s="5" t="str">
        <f>IF($J43="","",ROUND($J43/Summary!$B$3*100,1))</f>
        <v/>
      </c>
      <c r="M43" s="5" t="str">
        <f t="shared" si="5"/>
        <v/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/>
      <c r="D44" s="3"/>
      <c r="E44" s="5" t="str">
        <f>IF($C44="","",ROUND($C44/Summary!$B$3*100,1))</f>
        <v/>
      </c>
      <c r="F44" s="5" t="str">
        <f t="shared" si="4"/>
        <v/>
      </c>
      <c r="H44">
        <v>39</v>
      </c>
      <c r="I44" s="7" t="s">
        <v>102</v>
      </c>
      <c r="J44" s="3"/>
      <c r="K44" s="3"/>
      <c r="L44" s="5" t="str">
        <f>IF($J44="","",ROUND($J44/Summary!$B$3*100,1))</f>
        <v/>
      </c>
      <c r="M44" s="5" t="str">
        <f t="shared" si="5"/>
        <v/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/>
      <c r="D45" s="3"/>
      <c r="E45" s="5" t="str">
        <f>IF($C45="","",ROUND($C45/Summary!$B$3*100,1))</f>
        <v/>
      </c>
      <c r="F45" s="5" t="str">
        <f t="shared" si="4"/>
        <v/>
      </c>
      <c r="H45">
        <v>40</v>
      </c>
      <c r="I45" s="7" t="s">
        <v>104</v>
      </c>
      <c r="J45" s="3"/>
      <c r="K45" s="3"/>
      <c r="L45" s="5" t="str">
        <f>IF($J45="","",ROUND($J45/Summary!$B$3*100,1))</f>
        <v/>
      </c>
      <c r="M45" s="5" t="str">
        <f t="shared" si="5"/>
        <v/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/>
      <c r="D46" s="3"/>
      <c r="E46" s="5" t="str">
        <f>IF($C46="","",ROUND($C46/Summary!$B$3*100,1))</f>
        <v/>
      </c>
      <c r="F46" s="5" t="str">
        <f t="shared" si="4"/>
        <v/>
      </c>
      <c r="H46">
        <v>41</v>
      </c>
      <c r="I46" s="7" t="s">
        <v>43</v>
      </c>
      <c r="J46" s="3"/>
      <c r="K46" s="3"/>
      <c r="L46" s="5" t="str">
        <f>IF($J46="","",ROUND($J46/Summary!$B$3*100,1))</f>
        <v/>
      </c>
      <c r="M46" s="5" t="str">
        <f t="shared" si="5"/>
        <v/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3"/>
      <c r="D47" s="3"/>
      <c r="E47" s="5" t="str">
        <f>IF($C47="","",ROUND($C47/Summary!$B$3*100,1))</f>
        <v/>
      </c>
      <c r="F47" s="5" t="str">
        <f t="shared" si="4"/>
        <v/>
      </c>
      <c r="H47">
        <v>42</v>
      </c>
      <c r="I47" s="7" t="s">
        <v>107</v>
      </c>
      <c r="J47" s="3"/>
      <c r="K47" s="3"/>
      <c r="L47" s="5" t="str">
        <f>IF($J47="","",ROUND($J47/Summary!$B$3*100,1))</f>
        <v/>
      </c>
      <c r="M47" s="5" t="str">
        <f t="shared" si="5"/>
        <v/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/>
      <c r="D48" s="3"/>
      <c r="E48" s="5" t="str">
        <f>IF($C48="","",ROUND($C48/Summary!$B$3*100,1))</f>
        <v/>
      </c>
      <c r="F48" s="5" t="str">
        <f t="shared" si="4"/>
        <v/>
      </c>
      <c r="H48">
        <v>43</v>
      </c>
      <c r="I48" s="7" t="s">
        <v>109</v>
      </c>
      <c r="J48" s="3"/>
      <c r="K48" s="3"/>
      <c r="L48" s="5" t="str">
        <f>IF($J48="","",ROUND($J48/Summary!$B$3*100,1))</f>
        <v/>
      </c>
      <c r="M48" s="5" t="str">
        <f t="shared" si="5"/>
        <v/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/>
      <c r="D49" s="3"/>
      <c r="E49" s="5" t="str">
        <f>IF($C49="","",ROUND($C49/Summary!$B$3*100,1))</f>
        <v/>
      </c>
      <c r="F49" s="5" t="str">
        <f t="shared" si="4"/>
        <v/>
      </c>
      <c r="H49">
        <v>44</v>
      </c>
      <c r="I49" s="7" t="s">
        <v>111</v>
      </c>
      <c r="J49" s="3"/>
      <c r="K49" s="3"/>
      <c r="L49" s="5" t="str">
        <f>IF($J49="","",ROUND($J49/Summary!$B$3*100,1))</f>
        <v/>
      </c>
      <c r="M49" s="5" t="str">
        <f t="shared" si="5"/>
        <v/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/>
      <c r="D50" s="3"/>
      <c r="E50" s="5" t="str">
        <f>IF($C50="","",ROUND($C50/Summary!$B$3*100,1))</f>
        <v/>
      </c>
      <c r="F50" s="5" t="str">
        <f t="shared" si="4"/>
        <v/>
      </c>
      <c r="H50">
        <v>45</v>
      </c>
      <c r="I50" s="7" t="s">
        <v>46</v>
      </c>
      <c r="J50" s="3"/>
      <c r="K50" s="3"/>
      <c r="L50" s="5" t="str">
        <f>IF($J50="","",ROUND($J50/Summary!$B$3*100,1))</f>
        <v/>
      </c>
      <c r="M50" s="5" t="str">
        <f t="shared" si="5"/>
        <v/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/>
      <c r="D51" s="3"/>
      <c r="E51" s="5" t="str">
        <f>IF($C51="","",ROUND($C51/Summary!$B$3*100,1))</f>
        <v/>
      </c>
      <c r="F51" s="5" t="str">
        <f t="shared" si="4"/>
        <v/>
      </c>
      <c r="H51">
        <v>46</v>
      </c>
      <c r="I51" s="7" t="s">
        <v>114</v>
      </c>
      <c r="J51" s="3"/>
      <c r="K51" s="3"/>
      <c r="L51" s="5" t="str">
        <f>IF($J51="","",ROUND($J51/Summary!$B$3*100,1))</f>
        <v/>
      </c>
      <c r="M51" s="5" t="str">
        <f t="shared" si="5"/>
        <v/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/>
      <c r="D52" s="3"/>
      <c r="E52" s="5" t="str">
        <f>IF($C52="","",ROUND($C52/Summary!$B$3*100,1))</f>
        <v/>
      </c>
      <c r="F52" s="5" t="str">
        <f t="shared" si="4"/>
        <v/>
      </c>
      <c r="H52">
        <v>47</v>
      </c>
      <c r="I52" s="7" t="s">
        <v>116</v>
      </c>
      <c r="J52" s="3"/>
      <c r="K52" s="3"/>
      <c r="L52" s="5" t="str">
        <f>IF($J52="","",ROUND($J52/Summary!$B$3*100,1))</f>
        <v/>
      </c>
      <c r="M52" s="5" t="str">
        <f t="shared" si="5"/>
        <v/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/>
      <c r="D53" s="3"/>
      <c r="E53" s="5" t="str">
        <f>IF($C53="","",ROUND($C53/Summary!$B$3*100,1))</f>
        <v/>
      </c>
      <c r="F53" s="5" t="str">
        <f t="shared" si="4"/>
        <v/>
      </c>
      <c r="H53">
        <v>48</v>
      </c>
      <c r="I53" s="7" t="s">
        <v>118</v>
      </c>
      <c r="J53" s="3"/>
      <c r="K53" s="3"/>
      <c r="L53" s="5" t="str">
        <f>IF($J53="","",ROUND($J53/Summary!$B$3*100,1))</f>
        <v/>
      </c>
      <c r="M53" s="5" t="str">
        <f t="shared" si="5"/>
        <v/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/>
      <c r="D54" s="3"/>
      <c r="E54" s="5" t="str">
        <f>IF($C54="","",ROUND($C54/Summary!$B$3*100,1))</f>
        <v/>
      </c>
      <c r="F54" s="5" t="str">
        <f t="shared" si="4"/>
        <v/>
      </c>
      <c r="H54">
        <v>49</v>
      </c>
      <c r="I54" s="7" t="s">
        <v>48</v>
      </c>
      <c r="J54" s="3"/>
      <c r="K54" s="3"/>
      <c r="L54" s="5" t="str">
        <f>IF($J54="","",ROUND($J54/Summary!$B$3*100,1))</f>
        <v/>
      </c>
      <c r="M54" s="5" t="str">
        <f t="shared" si="5"/>
        <v/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/>
      <c r="D55" s="3"/>
      <c r="E55" s="5" t="str">
        <f>IF($C55="","",ROUND($C55/Summary!$B$3*100,1))</f>
        <v/>
      </c>
      <c r="F55" s="5" t="str">
        <f t="shared" si="4"/>
        <v/>
      </c>
      <c r="H55">
        <v>50</v>
      </c>
      <c r="I55" s="7" t="s">
        <v>121</v>
      </c>
      <c r="J55" s="3"/>
      <c r="K55" s="3"/>
      <c r="L55" s="5" t="str">
        <f>IF($J55="","",ROUND($J55/Summary!$B$3*100,1))</f>
        <v/>
      </c>
      <c r="M55" s="5" t="str">
        <f t="shared" si="5"/>
        <v/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0</v>
      </c>
      <c r="I58" s="8" t="s">
        <v>52</v>
      </c>
      <c r="J58" s="5">
        <f>COUNT(J6:J55)</f>
        <v>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 t="str">
        <f>IFERROR(AVERAGE(C6:C55),"")</f>
        <v/>
      </c>
      <c r="I59" s="8" t="s">
        <v>55</v>
      </c>
      <c r="J59" s="5" t="str">
        <f>IFERROR(AVERAGE(J6:J55),"")</f>
        <v/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 t="str">
        <f ca="1">IFERROR(_xludf.STDEV.S(C6:C55),"")</f>
        <v/>
      </c>
      <c r="I60" s="8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0</v>
      </c>
      <c r="I61" s="8" t="s">
        <v>60</v>
      </c>
      <c r="J61" s="5">
        <f>IFERROR(MIN(J6:J55),"")</f>
        <v>0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0</v>
      </c>
      <c r="I62" s="8" t="s">
        <v>63</v>
      </c>
      <c r="J62" s="5">
        <f>IFERROR(MAX(J6:J55),"")</f>
        <v>0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 t="str">
        <f>IF(COUNT(C6:C55)=0,"",MAX(C6:C55)-MIN(C6:C55))</f>
        <v/>
      </c>
      <c r="I63" s="8" t="s">
        <v>66</v>
      </c>
      <c r="J63" s="5" t="str">
        <f>IF(COUNT(J6:J55)=0,"",MAX(J6:J55)-MIN(J6:J55))</f>
        <v/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 t="str">
        <f>IFERROR(AVERAGE(E6:E55),"")</f>
        <v/>
      </c>
      <c r="I64" s="8" t="s">
        <v>69</v>
      </c>
      <c r="J64" s="5" t="str">
        <f>IFERROR(AVERAGE(L6:L55),"")</f>
        <v/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9"/>
  <sheetViews>
    <sheetView workbookViewId="0">
      <selection activeCell="Y5" sqref="Y5"/>
    </sheetView>
  </sheetViews>
  <sheetFormatPr defaultRowHeight="15" x14ac:dyDescent="0.25"/>
  <cols>
    <col min="1" max="1" width="4.42578125" customWidth="1"/>
    <col min="2" max="2" width="10" customWidth="1"/>
    <col min="3" max="3" width="9" customWidth="1"/>
    <col min="4" max="5" width="8" customWidth="1"/>
    <col min="6" max="6" width="11" customWidth="1"/>
    <col min="7" max="7" width="2" customWidth="1"/>
    <col min="8" max="8" width="4.42578125" customWidth="1"/>
    <col min="9" max="9" width="10" customWidth="1"/>
    <col min="10" max="10" width="9" customWidth="1"/>
    <col min="11" max="12" width="8" customWidth="1"/>
    <col min="13" max="13" width="11" customWidth="1"/>
    <col min="14" max="14" width="2" customWidth="1"/>
    <col min="15" max="15" width="4.42578125" customWidth="1"/>
    <col min="16" max="16" width="10" customWidth="1"/>
    <col min="17" max="17" width="9" customWidth="1"/>
    <col min="18" max="19" width="8" customWidth="1"/>
    <col min="20" max="20" width="11" customWidth="1"/>
    <col min="21" max="21" width="2" customWidth="1"/>
    <col min="22" max="22" width="4.42578125" customWidth="1"/>
    <col min="23" max="23" width="10" customWidth="1"/>
    <col min="24" max="24" width="9" customWidth="1"/>
    <col min="25" max="26" width="8" customWidth="1"/>
    <col min="27" max="27" width="11" customWidth="1"/>
  </cols>
  <sheetData>
    <row r="1" spans="1:27" ht="18.75" x14ac:dyDescent="0.3">
      <c r="A1" s="1" t="s">
        <v>130</v>
      </c>
    </row>
    <row r="2" spans="1:27" x14ac:dyDescent="0.25">
      <c r="A2" t="s">
        <v>1</v>
      </c>
      <c r="B2" s="3"/>
      <c r="C2" t="s">
        <v>2</v>
      </c>
      <c r="D2" s="3"/>
      <c r="H2" t="s">
        <v>3</v>
      </c>
      <c r="I2" s="3"/>
      <c r="O2" t="s">
        <v>4</v>
      </c>
      <c r="P2" s="3"/>
      <c r="V2" t="s">
        <v>5</v>
      </c>
      <c r="W2" s="5">
        <f>Summary!$B$3</f>
        <v>13.5</v>
      </c>
    </row>
    <row r="4" spans="1:27" x14ac:dyDescent="0.25">
      <c r="A4" s="4" t="s">
        <v>6</v>
      </c>
      <c r="H4" s="4" t="s">
        <v>7</v>
      </c>
      <c r="O4" s="4" t="s">
        <v>8</v>
      </c>
      <c r="V4" s="4" t="s">
        <v>9</v>
      </c>
    </row>
    <row r="5" spans="1:27" x14ac:dyDescent="0.25">
      <c r="A5" s="2" t="s">
        <v>10</v>
      </c>
      <c r="B5" s="2" t="s">
        <v>11</v>
      </c>
      <c r="C5" s="2" t="s">
        <v>12</v>
      </c>
      <c r="D5" s="2"/>
      <c r="E5" s="2" t="s">
        <v>13</v>
      </c>
      <c r="F5" s="2" t="s">
        <v>14</v>
      </c>
      <c r="H5" s="2" t="s">
        <v>10</v>
      </c>
      <c r="I5" s="2" t="s">
        <v>11</v>
      </c>
      <c r="J5" s="2" t="s">
        <v>12</v>
      </c>
      <c r="K5" s="2"/>
      <c r="L5" s="2" t="s">
        <v>13</v>
      </c>
      <c r="M5" s="2" t="s">
        <v>14</v>
      </c>
      <c r="O5" s="2" t="s">
        <v>10</v>
      </c>
      <c r="P5" s="2" t="s">
        <v>15</v>
      </c>
      <c r="Q5" s="2" t="s">
        <v>12</v>
      </c>
      <c r="R5" s="2"/>
      <c r="S5" s="2" t="s">
        <v>13</v>
      </c>
      <c r="T5" s="2" t="s">
        <v>14</v>
      </c>
      <c r="V5" s="2" t="s">
        <v>10</v>
      </c>
      <c r="W5" s="2" t="s">
        <v>15</v>
      </c>
      <c r="X5" s="14" t="s">
        <v>12</v>
      </c>
      <c r="Y5" s="2"/>
      <c r="Z5" s="2" t="s">
        <v>13</v>
      </c>
      <c r="AA5" s="2" t="s">
        <v>14</v>
      </c>
    </row>
    <row r="6" spans="1:27" x14ac:dyDescent="0.25">
      <c r="A6">
        <v>1</v>
      </c>
      <c r="B6" s="7" t="s">
        <v>16</v>
      </c>
      <c r="C6" s="3"/>
      <c r="D6" s="3"/>
      <c r="E6" s="5" t="str">
        <f>IF($C6="","",ROUND($C6/Summary!$B$3*100,1))</f>
        <v/>
      </c>
      <c r="F6" s="5" t="str">
        <f t="shared" ref="F6:F37" si="0">IF($C6="","",IF($C6&lt;2,"LETHAL",IF($C6&lt;4,"CRITICAL",IF($C6&lt;5,"LOW",IF($C6&lt;=8,"HEALTHY","SUPERSAT")))))</f>
        <v/>
      </c>
      <c r="H6">
        <v>1</v>
      </c>
      <c r="I6" s="7" t="s">
        <v>16</v>
      </c>
      <c r="J6" s="3"/>
      <c r="K6" s="3"/>
      <c r="L6" s="5" t="str">
        <f>IF($J6="","",ROUND($J6/Summary!$B$3*100,1))</f>
        <v/>
      </c>
      <c r="M6" s="5" t="str">
        <f t="shared" ref="M6:M37" si="1">IF($J6="","",IF($J6&lt;2,"LETHAL",IF($J6&lt;4,"CRITICAL",IF($J6&lt;5,"LOW",IF($J6&lt;=8,"HEALTHY","SUPERSAT")))))</f>
        <v/>
      </c>
      <c r="O6">
        <v>1</v>
      </c>
      <c r="P6" s="7" t="s">
        <v>17</v>
      </c>
      <c r="Q6" s="3"/>
      <c r="R6" s="3"/>
      <c r="S6" s="5" t="str">
        <f>IF($Q6="","",ROUND($Q6/Summary!$B$3*100,1))</f>
        <v/>
      </c>
      <c r="T6" s="5" t="str">
        <f t="shared" ref="T6:T16" si="2">IF($Q6="","",IF($Q6&lt;2,"LETHAL",IF($Q6&lt;4,"CRITICAL",IF($Q6&lt;5,"LOW",IF($Q6&lt;=8,"HEALTHY","SUPERSAT")))))</f>
        <v/>
      </c>
      <c r="V6">
        <v>1</v>
      </c>
      <c r="W6" s="3"/>
      <c r="X6" s="3"/>
      <c r="Y6" s="3"/>
      <c r="Z6" s="5" t="str">
        <f>IF($X6="","",ROUND($X6/Summary!$B$3*100,1))</f>
        <v/>
      </c>
      <c r="AA6" s="5" t="str">
        <f t="shared" ref="AA6:AA37" si="3">IF($X6="","",IF($X6&lt;2,"LETHAL",IF($X6&lt;4,"CRITICAL",IF($X6&lt;5,"LOW",IF($X6&lt;=8,"HEALTHY","SUPERSAT")))))</f>
        <v/>
      </c>
    </row>
    <row r="7" spans="1:27" x14ac:dyDescent="0.25">
      <c r="A7">
        <v>2</v>
      </c>
      <c r="B7" s="7" t="s">
        <v>18</v>
      </c>
      <c r="C7" s="3"/>
      <c r="D7" s="3"/>
      <c r="E7" s="5" t="str">
        <f>IF($C7="","",ROUND($C7/Summary!$B$3*100,1))</f>
        <v/>
      </c>
      <c r="F7" s="5" t="str">
        <f t="shared" si="0"/>
        <v/>
      </c>
      <c r="H7">
        <v>2</v>
      </c>
      <c r="I7" s="7" t="s">
        <v>19</v>
      </c>
      <c r="J7" s="3"/>
      <c r="K7" s="3"/>
      <c r="L7" s="5" t="str">
        <f>IF($J7="","",ROUND($J7/Summary!$B$3*100,1))</f>
        <v/>
      </c>
      <c r="M7" s="5" t="str">
        <f t="shared" si="1"/>
        <v/>
      </c>
      <c r="O7">
        <v>2</v>
      </c>
      <c r="P7" s="7" t="s">
        <v>20</v>
      </c>
      <c r="Q7" s="3"/>
      <c r="R7" s="3"/>
      <c r="S7" s="5" t="str">
        <f>IF($Q7="","",ROUND($Q7/Summary!$B$3*100,1))</f>
        <v/>
      </c>
      <c r="T7" s="5" t="str">
        <f t="shared" si="2"/>
        <v/>
      </c>
      <c r="V7">
        <v>2</v>
      </c>
      <c r="W7" s="3"/>
      <c r="X7" s="3"/>
      <c r="Y7" s="3"/>
      <c r="Z7" s="5" t="str">
        <f>IF($X7="","",ROUND($X7/Summary!$B$3*100,1))</f>
        <v/>
      </c>
      <c r="AA7" s="5" t="str">
        <f t="shared" si="3"/>
        <v/>
      </c>
    </row>
    <row r="8" spans="1:27" x14ac:dyDescent="0.25">
      <c r="A8">
        <v>3</v>
      </c>
      <c r="B8" s="7" t="s">
        <v>21</v>
      </c>
      <c r="C8" s="3"/>
      <c r="D8" s="3"/>
      <c r="E8" s="5" t="str">
        <f>IF($C8="","",ROUND($C8/Summary!$B$3*100,1))</f>
        <v/>
      </c>
      <c r="F8" s="5" t="str">
        <f t="shared" si="0"/>
        <v/>
      </c>
      <c r="H8">
        <v>3</v>
      </c>
      <c r="I8" s="7" t="s">
        <v>22</v>
      </c>
      <c r="J8" s="3"/>
      <c r="K8" s="3"/>
      <c r="L8" s="5" t="str">
        <f>IF($J8="","",ROUND($J8/Summary!$B$3*100,1))</f>
        <v/>
      </c>
      <c r="M8" s="5" t="str">
        <f t="shared" si="1"/>
        <v/>
      </c>
      <c r="O8">
        <v>3</v>
      </c>
      <c r="P8" s="7" t="s">
        <v>23</v>
      </c>
      <c r="Q8" s="3"/>
      <c r="R8" s="3"/>
      <c r="S8" s="5" t="str">
        <f>IF($Q8="","",ROUND($Q8/Summary!$B$3*100,1))</f>
        <v/>
      </c>
      <c r="T8" s="5" t="str">
        <f t="shared" si="2"/>
        <v/>
      </c>
      <c r="V8">
        <v>3</v>
      </c>
      <c r="W8" s="3"/>
      <c r="X8" s="3"/>
      <c r="Y8" s="3"/>
      <c r="Z8" s="5" t="str">
        <f>IF($X8="","",ROUND($X8/Summary!$B$3*100,1))</f>
        <v/>
      </c>
      <c r="AA8" s="5" t="str">
        <f t="shared" si="3"/>
        <v/>
      </c>
    </row>
    <row r="9" spans="1:27" x14ac:dyDescent="0.25">
      <c r="A9">
        <v>4</v>
      </c>
      <c r="B9" s="7" t="s">
        <v>24</v>
      </c>
      <c r="C9" s="3"/>
      <c r="D9" s="3"/>
      <c r="E9" s="5" t="str">
        <f>IF($C9="","",ROUND($C9/Summary!$B$3*100,1))</f>
        <v/>
      </c>
      <c r="F9" s="5" t="str">
        <f t="shared" si="0"/>
        <v/>
      </c>
      <c r="H9">
        <v>4</v>
      </c>
      <c r="I9" s="7" t="s">
        <v>25</v>
      </c>
      <c r="J9" s="3"/>
      <c r="K9" s="3"/>
      <c r="L9" s="5" t="str">
        <f>IF($J9="","",ROUND($J9/Summary!$B$3*100,1))</f>
        <v/>
      </c>
      <c r="M9" s="5" t="str">
        <f t="shared" si="1"/>
        <v/>
      </c>
      <c r="O9">
        <v>4</v>
      </c>
      <c r="P9" s="7" t="s">
        <v>26</v>
      </c>
      <c r="Q9" s="3"/>
      <c r="R9" s="3"/>
      <c r="S9" s="5" t="str">
        <f>IF($Q9="","",ROUND($Q9/Summary!$B$3*100,1))</f>
        <v/>
      </c>
      <c r="T9" s="5" t="str">
        <f t="shared" si="2"/>
        <v/>
      </c>
      <c r="V9">
        <v>4</v>
      </c>
      <c r="W9" s="3"/>
      <c r="X9" s="3"/>
      <c r="Y9" s="3"/>
      <c r="Z9" s="5" t="str">
        <f>IF($X9="","",ROUND($X9/Summary!$B$3*100,1))</f>
        <v/>
      </c>
      <c r="AA9" s="5" t="str">
        <f t="shared" si="3"/>
        <v/>
      </c>
    </row>
    <row r="10" spans="1:27" x14ac:dyDescent="0.25">
      <c r="A10">
        <v>5</v>
      </c>
      <c r="B10" s="7" t="s">
        <v>27</v>
      </c>
      <c r="C10" s="3"/>
      <c r="D10" s="3"/>
      <c r="E10" s="5" t="str">
        <f>IF($C10="","",ROUND($C10/Summary!$B$3*100,1))</f>
        <v/>
      </c>
      <c r="F10" s="5" t="str">
        <f t="shared" si="0"/>
        <v/>
      </c>
      <c r="H10">
        <v>5</v>
      </c>
      <c r="I10" s="7" t="s">
        <v>18</v>
      </c>
      <c r="J10" s="3"/>
      <c r="K10" s="3"/>
      <c r="L10" s="5" t="str">
        <f>IF($J10="","",ROUND($J10/Summary!$B$3*100,1))</f>
        <v/>
      </c>
      <c r="M10" s="5" t="str">
        <f t="shared" si="1"/>
        <v/>
      </c>
      <c r="O10">
        <v>5</v>
      </c>
      <c r="P10" s="7" t="s">
        <v>28</v>
      </c>
      <c r="Q10" s="3"/>
      <c r="R10" s="3"/>
      <c r="S10" s="5" t="str">
        <f>IF($Q10="","",ROUND($Q10/Summary!$B$3*100,1))</f>
        <v/>
      </c>
      <c r="T10" s="5" t="str">
        <f t="shared" si="2"/>
        <v/>
      </c>
      <c r="V10">
        <v>5</v>
      </c>
      <c r="W10" s="3"/>
      <c r="X10" s="3"/>
      <c r="Y10" s="3"/>
      <c r="Z10" s="5" t="str">
        <f>IF($X10="","",ROUND($X10/Summary!$B$3*100,1))</f>
        <v/>
      </c>
      <c r="AA10" s="5" t="str">
        <f t="shared" si="3"/>
        <v/>
      </c>
    </row>
    <row r="11" spans="1:27" x14ac:dyDescent="0.25">
      <c r="A11">
        <v>6</v>
      </c>
      <c r="B11" s="7" t="s">
        <v>29</v>
      </c>
      <c r="C11" s="3"/>
      <c r="D11" s="3"/>
      <c r="E11" s="5" t="str">
        <f>IF($C11="","",ROUND($C11/Summary!$B$3*100,1))</f>
        <v/>
      </c>
      <c r="F11" s="5" t="str">
        <f t="shared" si="0"/>
        <v/>
      </c>
      <c r="H11">
        <v>6</v>
      </c>
      <c r="I11" s="7" t="s">
        <v>30</v>
      </c>
      <c r="J11" s="3"/>
      <c r="K11" s="3"/>
      <c r="L11" s="5" t="str">
        <f>IF($J11="","",ROUND($J11/Summary!$B$3*100,1))</f>
        <v/>
      </c>
      <c r="M11" s="5" t="str">
        <f t="shared" si="1"/>
        <v/>
      </c>
      <c r="O11">
        <v>6</v>
      </c>
      <c r="P11" s="7" t="s">
        <v>31</v>
      </c>
      <c r="Q11" s="3"/>
      <c r="R11" s="3"/>
      <c r="S11" s="5" t="str">
        <f>IF($Q11="","",ROUND($Q11/Summary!$B$3*100,1))</f>
        <v/>
      </c>
      <c r="T11" s="5" t="str">
        <f t="shared" si="2"/>
        <v/>
      </c>
      <c r="V11">
        <v>6</v>
      </c>
      <c r="W11" s="3"/>
      <c r="X11" s="3"/>
      <c r="Y11" s="3"/>
      <c r="Z11" s="5" t="str">
        <f>IF($X11="","",ROUND($X11/Summary!$B$3*100,1))</f>
        <v/>
      </c>
      <c r="AA11" s="5" t="str">
        <f t="shared" si="3"/>
        <v/>
      </c>
    </row>
    <row r="12" spans="1:27" x14ac:dyDescent="0.25">
      <c r="A12">
        <v>7</v>
      </c>
      <c r="B12" s="7" t="s">
        <v>32</v>
      </c>
      <c r="C12" s="3"/>
      <c r="D12" s="3"/>
      <c r="E12" s="5" t="str">
        <f>IF($C12="","",ROUND($C12/Summary!$B$3*100,1))</f>
        <v/>
      </c>
      <c r="F12" s="5" t="str">
        <f t="shared" si="0"/>
        <v/>
      </c>
      <c r="H12">
        <v>7</v>
      </c>
      <c r="I12" s="7" t="s">
        <v>33</v>
      </c>
      <c r="J12" s="3"/>
      <c r="K12" s="3"/>
      <c r="L12" s="5" t="str">
        <f>IF($J12="","",ROUND($J12/Summary!$B$3*100,1))</f>
        <v/>
      </c>
      <c r="M12" s="5" t="str">
        <f t="shared" si="1"/>
        <v/>
      </c>
      <c r="O12">
        <v>7</v>
      </c>
      <c r="P12" s="7" t="s">
        <v>34</v>
      </c>
      <c r="Q12" s="3"/>
      <c r="R12" s="3"/>
      <c r="S12" s="5" t="str">
        <f>IF($Q12="","",ROUND($Q12/Summary!$B$3*100,1))</f>
        <v/>
      </c>
      <c r="T12" s="5" t="str">
        <f t="shared" si="2"/>
        <v/>
      </c>
      <c r="V12">
        <v>7</v>
      </c>
      <c r="W12" s="3"/>
      <c r="X12" s="3"/>
      <c r="Y12" s="3"/>
      <c r="Z12" s="5" t="str">
        <f>IF($X12="","",ROUND($X12/Summary!$B$3*100,1))</f>
        <v/>
      </c>
      <c r="AA12" s="5" t="str">
        <f t="shared" si="3"/>
        <v/>
      </c>
    </row>
    <row r="13" spans="1:27" x14ac:dyDescent="0.25">
      <c r="A13">
        <v>8</v>
      </c>
      <c r="B13" s="7" t="s">
        <v>35</v>
      </c>
      <c r="C13" s="3"/>
      <c r="D13" s="3"/>
      <c r="E13" s="5" t="str">
        <f>IF($C13="","",ROUND($C13/Summary!$B$3*100,1))</f>
        <v/>
      </c>
      <c r="F13" s="5" t="str">
        <f t="shared" si="0"/>
        <v/>
      </c>
      <c r="H13">
        <v>8</v>
      </c>
      <c r="I13" s="7" t="s">
        <v>36</v>
      </c>
      <c r="J13" s="3"/>
      <c r="K13" s="3"/>
      <c r="L13" s="5" t="str">
        <f>IF($J13="","",ROUND($J13/Summary!$B$3*100,1))</f>
        <v/>
      </c>
      <c r="M13" s="5" t="str">
        <f t="shared" si="1"/>
        <v/>
      </c>
      <c r="O13">
        <v>8</v>
      </c>
      <c r="P13" s="7" t="s">
        <v>37</v>
      </c>
      <c r="Q13" s="3"/>
      <c r="R13" s="3"/>
      <c r="S13" s="5" t="str">
        <f>IF($Q13="","",ROUND($Q13/Summary!$B$3*100,1))</f>
        <v/>
      </c>
      <c r="T13" s="5" t="str">
        <f t="shared" si="2"/>
        <v/>
      </c>
      <c r="V13">
        <v>8</v>
      </c>
      <c r="W13" s="3"/>
      <c r="X13" s="3"/>
      <c r="Y13" s="3"/>
      <c r="Z13" s="5" t="str">
        <f>IF($X13="","",ROUND($X13/Summary!$B$3*100,1))</f>
        <v/>
      </c>
      <c r="AA13" s="5" t="str">
        <f t="shared" si="3"/>
        <v/>
      </c>
    </row>
    <row r="14" spans="1:27" x14ac:dyDescent="0.25">
      <c r="A14">
        <v>9</v>
      </c>
      <c r="B14" s="7" t="s">
        <v>38</v>
      </c>
      <c r="C14" s="3"/>
      <c r="D14" s="3"/>
      <c r="E14" s="5" t="str">
        <f>IF($C14="","",ROUND($C14/Summary!$B$3*100,1))</f>
        <v/>
      </c>
      <c r="F14" s="5" t="str">
        <f t="shared" si="0"/>
        <v/>
      </c>
      <c r="H14">
        <v>9</v>
      </c>
      <c r="I14" s="7" t="s">
        <v>21</v>
      </c>
      <c r="J14" s="3"/>
      <c r="K14" s="3"/>
      <c r="L14" s="5" t="str">
        <f>IF($J14="","",ROUND($J14/Summary!$B$3*100,1))</f>
        <v/>
      </c>
      <c r="M14" s="5" t="str">
        <f t="shared" si="1"/>
        <v/>
      </c>
      <c r="O14">
        <v>9</v>
      </c>
      <c r="P14" s="7" t="s">
        <v>39</v>
      </c>
      <c r="Q14" s="3"/>
      <c r="R14" s="3"/>
      <c r="S14" s="5" t="str">
        <f>IF($Q14="","",ROUND($Q14/Summary!$B$3*100,1))</f>
        <v/>
      </c>
      <c r="T14" s="5" t="str">
        <f t="shared" si="2"/>
        <v/>
      </c>
      <c r="V14">
        <v>9</v>
      </c>
      <c r="W14" s="3"/>
      <c r="X14" s="3"/>
      <c r="Y14" s="3"/>
      <c r="Z14" s="5" t="str">
        <f>IF($X14="","",ROUND($X14/Summary!$B$3*100,1))</f>
        <v/>
      </c>
      <c r="AA14" s="5" t="str">
        <f t="shared" si="3"/>
        <v/>
      </c>
    </row>
    <row r="15" spans="1:27" x14ac:dyDescent="0.25">
      <c r="A15">
        <v>10</v>
      </c>
      <c r="B15" s="7" t="s">
        <v>40</v>
      </c>
      <c r="C15" s="3"/>
      <c r="D15" s="3"/>
      <c r="E15" s="5" t="str">
        <f>IF($C15="","",ROUND($C15/Summary!$B$3*100,1))</f>
        <v/>
      </c>
      <c r="F15" s="5" t="str">
        <f t="shared" si="0"/>
        <v/>
      </c>
      <c r="H15">
        <v>10</v>
      </c>
      <c r="I15" s="7" t="s">
        <v>41</v>
      </c>
      <c r="J15" s="3"/>
      <c r="K15" s="3"/>
      <c r="L15" s="5" t="str">
        <f>IF($J15="","",ROUND($J15/Summary!$B$3*100,1))</f>
        <v/>
      </c>
      <c r="M15" s="5" t="str">
        <f t="shared" si="1"/>
        <v/>
      </c>
      <c r="O15">
        <v>10</v>
      </c>
      <c r="P15" s="7" t="s">
        <v>42</v>
      </c>
      <c r="Q15" s="3"/>
      <c r="R15" s="3"/>
      <c r="S15" s="5" t="str">
        <f>IF($Q15="","",ROUND($Q15/Summary!$B$3*100,1))</f>
        <v/>
      </c>
      <c r="T15" s="5" t="str">
        <f t="shared" si="2"/>
        <v/>
      </c>
      <c r="V15">
        <v>10</v>
      </c>
      <c r="W15" s="3"/>
      <c r="X15" s="3"/>
      <c r="Y15" s="3"/>
      <c r="Z15" s="5" t="str">
        <f>IF($X15="","",ROUND($X15/Summary!$B$3*100,1))</f>
        <v/>
      </c>
      <c r="AA15" s="5" t="str">
        <f t="shared" si="3"/>
        <v/>
      </c>
    </row>
    <row r="16" spans="1:27" x14ac:dyDescent="0.25">
      <c r="A16">
        <v>11</v>
      </c>
      <c r="B16" s="7" t="s">
        <v>43</v>
      </c>
      <c r="C16" s="3"/>
      <c r="D16" s="3"/>
      <c r="E16" s="5" t="str">
        <f>IF($C16="","",ROUND($C16/Summary!$B$3*100,1))</f>
        <v/>
      </c>
      <c r="F16" s="5" t="str">
        <f t="shared" si="0"/>
        <v/>
      </c>
      <c r="H16">
        <v>11</v>
      </c>
      <c r="I16" s="7" t="s">
        <v>44</v>
      </c>
      <c r="J16" s="3"/>
      <c r="K16" s="3"/>
      <c r="L16" s="5" t="str">
        <f>IF($J16="","",ROUND($J16/Summary!$B$3*100,1))</f>
        <v/>
      </c>
      <c r="M16" s="5" t="str">
        <f t="shared" si="1"/>
        <v/>
      </c>
      <c r="O16">
        <v>11</v>
      </c>
      <c r="P16" s="7" t="s">
        <v>45</v>
      </c>
      <c r="Q16" s="3"/>
      <c r="R16" s="3"/>
      <c r="S16" s="5" t="str">
        <f>IF($Q16="","",ROUND($Q16/Summary!$B$3*100,1))</f>
        <v/>
      </c>
      <c r="T16" s="5" t="str">
        <f t="shared" si="2"/>
        <v/>
      </c>
      <c r="V16">
        <v>11</v>
      </c>
      <c r="W16" s="3"/>
      <c r="X16" s="3"/>
      <c r="Y16" s="3"/>
      <c r="Z16" s="5" t="str">
        <f>IF($X16="","",ROUND($X16/Summary!$B$3*100,1))</f>
        <v/>
      </c>
      <c r="AA16" s="5" t="str">
        <f t="shared" si="3"/>
        <v/>
      </c>
    </row>
    <row r="17" spans="1:27" x14ac:dyDescent="0.25">
      <c r="A17">
        <v>12</v>
      </c>
      <c r="B17" s="7" t="s">
        <v>46</v>
      </c>
      <c r="C17" s="3"/>
      <c r="D17" s="3"/>
      <c r="E17" s="5" t="str">
        <f>IF($C17="","",ROUND($C17/Summary!$B$3*100,1))</f>
        <v/>
      </c>
      <c r="F17" s="5" t="str">
        <f t="shared" si="0"/>
        <v/>
      </c>
      <c r="H17">
        <v>12</v>
      </c>
      <c r="I17" s="7" t="s">
        <v>47</v>
      </c>
      <c r="J17" s="3"/>
      <c r="K17" s="3"/>
      <c r="L17" s="5" t="str">
        <f>IF($J17="","",ROUND($J17/Summary!$B$3*100,1))</f>
        <v/>
      </c>
      <c r="M17" s="5" t="str">
        <f t="shared" si="1"/>
        <v/>
      </c>
      <c r="V17">
        <v>12</v>
      </c>
      <c r="W17" s="3"/>
      <c r="X17" s="3"/>
      <c r="Y17" s="3"/>
      <c r="Z17" s="5" t="str">
        <f>IF($X17="","",ROUND($X17/Summary!$B$3*100,1))</f>
        <v/>
      </c>
      <c r="AA17" s="5" t="str">
        <f t="shared" si="3"/>
        <v/>
      </c>
    </row>
    <row r="18" spans="1:27" x14ac:dyDescent="0.25">
      <c r="A18">
        <v>13</v>
      </c>
      <c r="B18" s="7" t="s">
        <v>48</v>
      </c>
      <c r="C18" s="3"/>
      <c r="D18" s="3"/>
      <c r="E18" s="5" t="str">
        <f>IF($C18="","",ROUND($C18/Summary!$B$3*100,1))</f>
        <v/>
      </c>
      <c r="F18" s="5" t="str">
        <f t="shared" si="0"/>
        <v/>
      </c>
      <c r="H18">
        <v>13</v>
      </c>
      <c r="I18" s="7" t="s">
        <v>24</v>
      </c>
      <c r="J18" s="3"/>
      <c r="K18" s="3"/>
      <c r="L18" s="5" t="str">
        <f>IF($J18="","",ROUND($J18/Summary!$B$3*100,1))</f>
        <v/>
      </c>
      <c r="M18" s="5" t="str">
        <f t="shared" si="1"/>
        <v/>
      </c>
      <c r="O18" s="4" t="s">
        <v>49</v>
      </c>
      <c r="V18">
        <v>13</v>
      </c>
      <c r="W18" s="3"/>
      <c r="X18" s="3"/>
      <c r="Y18" s="3"/>
      <c r="Z18" s="5" t="str">
        <f>IF($X18="","",ROUND($X18/Summary!$B$3*100,1))</f>
        <v/>
      </c>
      <c r="AA18" s="5" t="str">
        <f t="shared" si="3"/>
        <v/>
      </c>
    </row>
    <row r="19" spans="1:27" x14ac:dyDescent="0.25">
      <c r="A19">
        <v>14</v>
      </c>
      <c r="B19" s="7" t="s">
        <v>50</v>
      </c>
      <c r="C19" s="3"/>
      <c r="D19" s="3"/>
      <c r="E19" s="5" t="str">
        <f>IF($C19="","",ROUND($C19/Summary!$B$3*100,1))</f>
        <v/>
      </c>
      <c r="F19" s="5" t="str">
        <f t="shared" si="0"/>
        <v/>
      </c>
      <c r="H19">
        <v>14</v>
      </c>
      <c r="I19" s="7" t="s">
        <v>51</v>
      </c>
      <c r="J19" s="3"/>
      <c r="K19" s="3"/>
      <c r="L19" s="5" t="str">
        <f>IF($J19="","",ROUND($J19/Summary!$B$3*100,1))</f>
        <v/>
      </c>
      <c r="M19" s="5" t="str">
        <f t="shared" si="1"/>
        <v/>
      </c>
      <c r="P19" s="8" t="s">
        <v>52</v>
      </c>
      <c r="Q19" s="5">
        <f>COUNT(Q6:Q16)</f>
        <v>0</v>
      </c>
      <c r="V19">
        <v>14</v>
      </c>
      <c r="W19" s="3"/>
      <c r="X19" s="3"/>
      <c r="Y19" s="3"/>
      <c r="Z19" s="5" t="str">
        <f>IF($X19="","",ROUND($X19/Summary!$B$3*100,1))</f>
        <v/>
      </c>
      <c r="AA19" s="5" t="str">
        <f t="shared" si="3"/>
        <v/>
      </c>
    </row>
    <row r="20" spans="1:27" x14ac:dyDescent="0.25">
      <c r="A20">
        <v>15</v>
      </c>
      <c r="B20" s="7" t="s">
        <v>53</v>
      </c>
      <c r="C20" s="3"/>
      <c r="D20" s="3"/>
      <c r="E20" s="5" t="str">
        <f>IF($C20="","",ROUND($C20/Summary!$B$3*100,1))</f>
        <v/>
      </c>
      <c r="F20" s="5" t="str">
        <f t="shared" si="0"/>
        <v/>
      </c>
      <c r="H20">
        <v>15</v>
      </c>
      <c r="I20" s="7" t="s">
        <v>54</v>
      </c>
      <c r="J20" s="3"/>
      <c r="K20" s="3"/>
      <c r="L20" s="5" t="str">
        <f>IF($J20="","",ROUND($J20/Summary!$B$3*100,1))</f>
        <v/>
      </c>
      <c r="M20" s="5" t="str">
        <f t="shared" si="1"/>
        <v/>
      </c>
      <c r="P20" s="8" t="s">
        <v>55</v>
      </c>
      <c r="Q20" s="5" t="str">
        <f>IFERROR(AVERAGE(Q6:Q16),"")</f>
        <v/>
      </c>
      <c r="V20">
        <v>15</v>
      </c>
      <c r="W20" s="3"/>
      <c r="X20" s="3"/>
      <c r="Y20" s="3"/>
      <c r="Z20" s="5" t="str">
        <f>IF($X20="","",ROUND($X20/Summary!$B$3*100,1))</f>
        <v/>
      </c>
      <c r="AA20" s="5" t="str">
        <f t="shared" si="3"/>
        <v/>
      </c>
    </row>
    <row r="21" spans="1:27" x14ac:dyDescent="0.25">
      <c r="A21">
        <v>16</v>
      </c>
      <c r="B21" s="7" t="s">
        <v>56</v>
      </c>
      <c r="C21" s="3"/>
      <c r="D21" s="3"/>
      <c r="E21" s="5" t="str">
        <f>IF($C21="","",ROUND($C21/Summary!$B$3*100,1))</f>
        <v/>
      </c>
      <c r="F21" s="5" t="str">
        <f t="shared" si="0"/>
        <v/>
      </c>
      <c r="H21">
        <v>16</v>
      </c>
      <c r="I21" s="7" t="s">
        <v>57</v>
      </c>
      <c r="J21" s="3"/>
      <c r="K21" s="3"/>
      <c r="L21" s="5" t="str">
        <f>IF($J21="","",ROUND($J21/Summary!$B$3*100,1))</f>
        <v/>
      </c>
      <c r="M21" s="5" t="str">
        <f t="shared" si="1"/>
        <v/>
      </c>
      <c r="P21" s="8" t="s">
        <v>58</v>
      </c>
      <c r="Q21" s="5" t="str">
        <f ca="1">IFERROR(_xludf.STDEV.S(Q6:Q16),"")</f>
        <v/>
      </c>
      <c r="V21">
        <v>16</v>
      </c>
      <c r="W21" s="3"/>
      <c r="X21" s="3"/>
      <c r="Y21" s="3"/>
      <c r="Z21" s="5" t="str">
        <f>IF($X21="","",ROUND($X21/Summary!$B$3*100,1))</f>
        <v/>
      </c>
      <c r="AA21" s="5" t="str">
        <f t="shared" si="3"/>
        <v/>
      </c>
    </row>
    <row r="22" spans="1:27" x14ac:dyDescent="0.25">
      <c r="A22">
        <v>17</v>
      </c>
      <c r="B22" s="7" t="s">
        <v>59</v>
      </c>
      <c r="C22" s="3"/>
      <c r="D22" s="3"/>
      <c r="E22" s="5" t="str">
        <f>IF($C22="","",ROUND($C22/Summary!$B$3*100,1))</f>
        <v/>
      </c>
      <c r="F22" s="5" t="str">
        <f t="shared" si="0"/>
        <v/>
      </c>
      <c r="H22">
        <v>17</v>
      </c>
      <c r="I22" s="7" t="s">
        <v>27</v>
      </c>
      <c r="J22" s="3"/>
      <c r="K22" s="3"/>
      <c r="L22" s="5" t="str">
        <f>IF($J22="","",ROUND($J22/Summary!$B$3*100,1))</f>
        <v/>
      </c>
      <c r="M22" s="5" t="str">
        <f t="shared" si="1"/>
        <v/>
      </c>
      <c r="P22" s="8" t="s">
        <v>60</v>
      </c>
      <c r="Q22" s="5">
        <f>IFERROR(MIN(Q6:Q16),"")</f>
        <v>0</v>
      </c>
      <c r="V22">
        <v>17</v>
      </c>
      <c r="W22" s="3"/>
      <c r="X22" s="3"/>
      <c r="Y22" s="3"/>
      <c r="Z22" s="5" t="str">
        <f>IF($X22="","",ROUND($X22/Summary!$B$3*100,1))</f>
        <v/>
      </c>
      <c r="AA22" s="5" t="str">
        <f t="shared" si="3"/>
        <v/>
      </c>
    </row>
    <row r="23" spans="1:27" x14ac:dyDescent="0.25">
      <c r="A23">
        <v>18</v>
      </c>
      <c r="B23" s="7" t="s">
        <v>61</v>
      </c>
      <c r="C23" s="3"/>
      <c r="D23" s="3"/>
      <c r="E23" s="5" t="str">
        <f>IF($C23="","",ROUND($C23/Summary!$B$3*100,1))</f>
        <v/>
      </c>
      <c r="F23" s="5" t="str">
        <f t="shared" si="0"/>
        <v/>
      </c>
      <c r="H23">
        <v>18</v>
      </c>
      <c r="I23" s="7" t="s">
        <v>62</v>
      </c>
      <c r="J23" s="3"/>
      <c r="K23" s="3"/>
      <c r="L23" s="5" t="str">
        <f>IF($J23="","",ROUND($J23/Summary!$B$3*100,1))</f>
        <v/>
      </c>
      <c r="M23" s="5" t="str">
        <f t="shared" si="1"/>
        <v/>
      </c>
      <c r="P23" s="8" t="s">
        <v>63</v>
      </c>
      <c r="Q23" s="5">
        <f>IFERROR(MAX(Q6:Q16),"")</f>
        <v>0</v>
      </c>
      <c r="V23">
        <v>18</v>
      </c>
      <c r="W23" s="3"/>
      <c r="X23" s="3"/>
      <c r="Y23" s="3"/>
      <c r="Z23" s="5" t="str">
        <f>IF($X23="","",ROUND($X23/Summary!$B$3*100,1))</f>
        <v/>
      </c>
      <c r="AA23" s="5" t="str">
        <f t="shared" si="3"/>
        <v/>
      </c>
    </row>
    <row r="24" spans="1:27" x14ac:dyDescent="0.25">
      <c r="A24">
        <v>19</v>
      </c>
      <c r="B24" s="7" t="s">
        <v>64</v>
      </c>
      <c r="C24" s="3"/>
      <c r="D24" s="3"/>
      <c r="E24" s="5" t="str">
        <f>IF($C24="","",ROUND($C24/Summary!$B$3*100,1))</f>
        <v/>
      </c>
      <c r="F24" s="5" t="str">
        <f t="shared" si="0"/>
        <v/>
      </c>
      <c r="H24">
        <v>19</v>
      </c>
      <c r="I24" s="7" t="s">
        <v>65</v>
      </c>
      <c r="J24" s="3"/>
      <c r="K24" s="3"/>
      <c r="L24" s="5" t="str">
        <f>IF($J24="","",ROUND($J24/Summary!$B$3*100,1))</f>
        <v/>
      </c>
      <c r="M24" s="5" t="str">
        <f t="shared" si="1"/>
        <v/>
      </c>
      <c r="P24" s="8" t="s">
        <v>66</v>
      </c>
      <c r="Q24" s="5" t="str">
        <f>IF(COUNT(Q6:Q16)=0,"",MAX(Q6:Q16)-MIN(Q6:Q16))</f>
        <v/>
      </c>
      <c r="V24">
        <v>19</v>
      </c>
      <c r="W24" s="3"/>
      <c r="X24" s="3"/>
      <c r="Y24" s="3"/>
      <c r="Z24" s="5" t="str">
        <f>IF($X24="","",ROUND($X24/Summary!$B$3*100,1))</f>
        <v/>
      </c>
      <c r="AA24" s="5" t="str">
        <f t="shared" si="3"/>
        <v/>
      </c>
    </row>
    <row r="25" spans="1:27" x14ac:dyDescent="0.25">
      <c r="A25">
        <v>20</v>
      </c>
      <c r="B25" s="7" t="s">
        <v>67</v>
      </c>
      <c r="C25" s="3"/>
      <c r="D25" s="3"/>
      <c r="E25" s="5" t="str">
        <f>IF($C25="","",ROUND($C25/Summary!$B$3*100,1))</f>
        <v/>
      </c>
      <c r="F25" s="5" t="str">
        <f t="shared" si="0"/>
        <v/>
      </c>
      <c r="H25">
        <v>20</v>
      </c>
      <c r="I25" s="7" t="s">
        <v>68</v>
      </c>
      <c r="J25" s="3"/>
      <c r="K25" s="3"/>
      <c r="L25" s="5" t="str">
        <f>IF($J25="","",ROUND($J25/Summary!$B$3*100,1))</f>
        <v/>
      </c>
      <c r="M25" s="5" t="str">
        <f t="shared" si="1"/>
        <v/>
      </c>
      <c r="P25" s="8" t="s">
        <v>69</v>
      </c>
      <c r="Q25" s="5" t="str">
        <f>IFERROR(AVERAGE(S6:S16),"")</f>
        <v/>
      </c>
      <c r="V25">
        <v>20</v>
      </c>
      <c r="W25" s="3"/>
      <c r="X25" s="3"/>
      <c r="Y25" s="3"/>
      <c r="Z25" s="5" t="str">
        <f>IF($X25="","",ROUND($X25/Summary!$B$3*100,1))</f>
        <v/>
      </c>
      <c r="AA25" s="5" t="str">
        <f t="shared" si="3"/>
        <v/>
      </c>
    </row>
    <row r="26" spans="1:27" x14ac:dyDescent="0.25">
      <c r="A26">
        <v>21</v>
      </c>
      <c r="B26" s="7" t="s">
        <v>70</v>
      </c>
      <c r="C26" s="3"/>
      <c r="D26" s="3"/>
      <c r="E26" s="5" t="str">
        <f>IF($C26="","",ROUND($C26/Summary!$B$3*100,1))</f>
        <v/>
      </c>
      <c r="F26" s="5" t="str">
        <f t="shared" si="0"/>
        <v/>
      </c>
      <c r="H26">
        <v>21</v>
      </c>
      <c r="I26" s="7" t="s">
        <v>29</v>
      </c>
      <c r="J26" s="3"/>
      <c r="K26" s="3"/>
      <c r="L26" s="5" t="str">
        <f>IF($J26="","",ROUND($J26/Summary!$B$3*100,1))</f>
        <v/>
      </c>
      <c r="M26" s="5" t="str">
        <f t="shared" si="1"/>
        <v/>
      </c>
      <c r="V26">
        <v>21</v>
      </c>
      <c r="W26" s="3"/>
      <c r="X26" s="3"/>
      <c r="Y26" s="3"/>
      <c r="Z26" s="5" t="str">
        <f>IF($X26="","",ROUND($X26/Summary!$B$3*100,1))</f>
        <v/>
      </c>
      <c r="AA26" s="5" t="str">
        <f t="shared" si="3"/>
        <v/>
      </c>
    </row>
    <row r="27" spans="1:27" x14ac:dyDescent="0.25">
      <c r="A27">
        <v>22</v>
      </c>
      <c r="B27" s="7" t="s">
        <v>71</v>
      </c>
      <c r="C27" s="3"/>
      <c r="D27" s="3"/>
      <c r="E27" s="5" t="str">
        <f>IF($C27="","",ROUND($C27/Summary!$B$3*100,1))</f>
        <v/>
      </c>
      <c r="F27" s="5" t="str">
        <f t="shared" si="0"/>
        <v/>
      </c>
      <c r="H27">
        <v>22</v>
      </c>
      <c r="I27" s="7" t="s">
        <v>72</v>
      </c>
      <c r="J27" s="3"/>
      <c r="K27" s="3"/>
      <c r="L27" s="5" t="str">
        <f>IF($J27="","",ROUND($J27/Summary!$B$3*100,1))</f>
        <v/>
      </c>
      <c r="M27" s="5" t="str">
        <f t="shared" si="1"/>
        <v/>
      </c>
      <c r="V27">
        <v>22</v>
      </c>
      <c r="W27" s="3"/>
      <c r="X27" s="3"/>
      <c r="Y27" s="3"/>
      <c r="Z27" s="5" t="str">
        <f>IF($X27="","",ROUND($X27/Summary!$B$3*100,1))</f>
        <v/>
      </c>
      <c r="AA27" s="5" t="str">
        <f t="shared" si="3"/>
        <v/>
      </c>
    </row>
    <row r="28" spans="1:27" x14ac:dyDescent="0.25">
      <c r="A28">
        <v>23</v>
      </c>
      <c r="B28" s="7" t="s">
        <v>73</v>
      </c>
      <c r="C28" s="3"/>
      <c r="D28" s="3"/>
      <c r="E28" s="5" t="str">
        <f>IF($C28="","",ROUND($C28/Summary!$B$3*100,1))</f>
        <v/>
      </c>
      <c r="F28" s="5" t="str">
        <f t="shared" si="0"/>
        <v/>
      </c>
      <c r="H28">
        <v>23</v>
      </c>
      <c r="I28" s="7" t="s">
        <v>74</v>
      </c>
      <c r="J28" s="3"/>
      <c r="K28" s="3"/>
      <c r="L28" s="5" t="str">
        <f>IF($J28="","",ROUND($J28/Summary!$B$3*100,1))</f>
        <v/>
      </c>
      <c r="M28" s="5" t="str">
        <f t="shared" si="1"/>
        <v/>
      </c>
      <c r="V28">
        <v>23</v>
      </c>
      <c r="W28" s="3"/>
      <c r="X28" s="3"/>
      <c r="Y28" s="3"/>
      <c r="Z28" s="5" t="str">
        <f>IF($X28="","",ROUND($X28/Summary!$B$3*100,1))</f>
        <v/>
      </c>
      <c r="AA28" s="5" t="str">
        <f t="shared" si="3"/>
        <v/>
      </c>
    </row>
    <row r="29" spans="1:27" x14ac:dyDescent="0.25">
      <c r="A29">
        <v>24</v>
      </c>
      <c r="B29" s="7" t="s">
        <v>75</v>
      </c>
      <c r="C29" s="3"/>
      <c r="D29" s="3"/>
      <c r="E29" s="5" t="str">
        <f>IF($C29="","",ROUND($C29/Summary!$B$3*100,1))</f>
        <v/>
      </c>
      <c r="F29" s="5" t="str">
        <f t="shared" si="0"/>
        <v/>
      </c>
      <c r="H29">
        <v>24</v>
      </c>
      <c r="I29" s="7" t="s">
        <v>76</v>
      </c>
      <c r="J29" s="3"/>
      <c r="K29" s="3"/>
      <c r="L29" s="5" t="str">
        <f>IF($J29="","",ROUND($J29/Summary!$B$3*100,1))</f>
        <v/>
      </c>
      <c r="M29" s="5" t="str">
        <f t="shared" si="1"/>
        <v/>
      </c>
      <c r="V29">
        <v>24</v>
      </c>
      <c r="W29" s="3"/>
      <c r="X29" s="3"/>
      <c r="Y29" s="3"/>
      <c r="Z29" s="5" t="str">
        <f>IF($X29="","",ROUND($X29/Summary!$B$3*100,1))</f>
        <v/>
      </c>
      <c r="AA29" s="5" t="str">
        <f t="shared" si="3"/>
        <v/>
      </c>
    </row>
    <row r="30" spans="1:27" x14ac:dyDescent="0.25">
      <c r="A30">
        <v>25</v>
      </c>
      <c r="B30" s="7" t="s">
        <v>77</v>
      </c>
      <c r="C30" s="3"/>
      <c r="D30" s="3"/>
      <c r="E30" s="5" t="str">
        <f>IF($C30="","",ROUND($C30/Summary!$B$3*100,1))</f>
        <v/>
      </c>
      <c r="F30" s="5" t="str">
        <f t="shared" si="0"/>
        <v/>
      </c>
      <c r="H30">
        <v>25</v>
      </c>
      <c r="I30" s="7" t="s">
        <v>32</v>
      </c>
      <c r="J30" s="3"/>
      <c r="K30" s="3"/>
      <c r="L30" s="5" t="str">
        <f>IF($J30="","",ROUND($J30/Summary!$B$3*100,1))</f>
        <v/>
      </c>
      <c r="M30" s="5" t="str">
        <f t="shared" si="1"/>
        <v/>
      </c>
      <c r="V30">
        <v>25</v>
      </c>
      <c r="W30" s="3"/>
      <c r="X30" s="3"/>
      <c r="Y30" s="3"/>
      <c r="Z30" s="5" t="str">
        <f>IF($X30="","",ROUND($X30/Summary!$B$3*100,1))</f>
        <v/>
      </c>
      <c r="AA30" s="5" t="str">
        <f t="shared" si="3"/>
        <v/>
      </c>
    </row>
    <row r="31" spans="1:27" x14ac:dyDescent="0.25">
      <c r="A31">
        <v>26</v>
      </c>
      <c r="B31" s="7" t="s">
        <v>78</v>
      </c>
      <c r="C31" s="3"/>
      <c r="D31" s="3"/>
      <c r="E31" s="5" t="str">
        <f>IF($C31="","",ROUND($C31/Summary!$B$3*100,1))</f>
        <v/>
      </c>
      <c r="F31" s="5" t="str">
        <f t="shared" si="0"/>
        <v/>
      </c>
      <c r="H31">
        <v>26</v>
      </c>
      <c r="I31" s="7" t="s">
        <v>79</v>
      </c>
      <c r="J31" s="3"/>
      <c r="K31" s="3"/>
      <c r="L31" s="5" t="str">
        <f>IF($J31="","",ROUND($J31/Summary!$B$3*100,1))</f>
        <v/>
      </c>
      <c r="M31" s="5" t="str">
        <f t="shared" si="1"/>
        <v/>
      </c>
      <c r="V31">
        <v>26</v>
      </c>
      <c r="W31" s="3"/>
      <c r="X31" s="3"/>
      <c r="Y31" s="3"/>
      <c r="Z31" s="5" t="str">
        <f>IF($X31="","",ROUND($X31/Summary!$B$3*100,1))</f>
        <v/>
      </c>
      <c r="AA31" s="5" t="str">
        <f t="shared" si="3"/>
        <v/>
      </c>
    </row>
    <row r="32" spans="1:27" x14ac:dyDescent="0.25">
      <c r="A32">
        <v>27</v>
      </c>
      <c r="B32" s="7" t="s">
        <v>80</v>
      </c>
      <c r="C32" s="3"/>
      <c r="D32" s="3"/>
      <c r="E32" s="5" t="str">
        <f>IF($C32="","",ROUND($C32/Summary!$B$3*100,1))</f>
        <v/>
      </c>
      <c r="F32" s="5" t="str">
        <f t="shared" si="0"/>
        <v/>
      </c>
      <c r="H32">
        <v>27</v>
      </c>
      <c r="I32" s="7" t="s">
        <v>81</v>
      </c>
      <c r="J32" s="3"/>
      <c r="K32" s="3"/>
      <c r="L32" s="5" t="str">
        <f>IF($J32="","",ROUND($J32/Summary!$B$3*100,1))</f>
        <v/>
      </c>
      <c r="M32" s="5" t="str">
        <f t="shared" si="1"/>
        <v/>
      </c>
      <c r="V32">
        <v>27</v>
      </c>
      <c r="W32" s="3"/>
      <c r="X32" s="3"/>
      <c r="Y32" s="3"/>
      <c r="Z32" s="5" t="str">
        <f>IF($X32="","",ROUND($X32/Summary!$B$3*100,1))</f>
        <v/>
      </c>
      <c r="AA32" s="5" t="str">
        <f t="shared" si="3"/>
        <v/>
      </c>
    </row>
    <row r="33" spans="1:27" x14ac:dyDescent="0.25">
      <c r="A33">
        <v>28</v>
      </c>
      <c r="B33" s="7" t="s">
        <v>82</v>
      </c>
      <c r="C33" s="3"/>
      <c r="D33" s="3"/>
      <c r="E33" s="5" t="str">
        <f>IF($C33="","",ROUND($C33/Summary!$B$3*100,1))</f>
        <v/>
      </c>
      <c r="F33" s="5" t="str">
        <f t="shared" si="0"/>
        <v/>
      </c>
      <c r="H33">
        <v>28</v>
      </c>
      <c r="I33" s="7" t="s">
        <v>83</v>
      </c>
      <c r="J33" s="3"/>
      <c r="K33" s="3"/>
      <c r="L33" s="5" t="str">
        <f>IF($J33="","",ROUND($J33/Summary!$B$3*100,1))</f>
        <v/>
      </c>
      <c r="M33" s="5" t="str">
        <f t="shared" si="1"/>
        <v/>
      </c>
      <c r="V33">
        <v>28</v>
      </c>
      <c r="W33" s="3"/>
      <c r="X33" s="3"/>
      <c r="Y33" s="3"/>
      <c r="Z33" s="5" t="str">
        <f>IF($X33="","",ROUND($X33/Summary!$B$3*100,1))</f>
        <v/>
      </c>
      <c r="AA33" s="5" t="str">
        <f t="shared" si="3"/>
        <v/>
      </c>
    </row>
    <row r="34" spans="1:27" x14ac:dyDescent="0.25">
      <c r="A34">
        <v>29</v>
      </c>
      <c r="B34" s="7" t="s">
        <v>84</v>
      </c>
      <c r="C34" s="3"/>
      <c r="D34" s="3"/>
      <c r="E34" s="5" t="str">
        <f>IF($C34="","",ROUND($C34/Summary!$B$3*100,1))</f>
        <v/>
      </c>
      <c r="F34" s="5" t="str">
        <f t="shared" si="0"/>
        <v/>
      </c>
      <c r="H34">
        <v>29</v>
      </c>
      <c r="I34" s="7" t="s">
        <v>35</v>
      </c>
      <c r="J34" s="3"/>
      <c r="K34" s="3"/>
      <c r="L34" s="5" t="str">
        <f>IF($J34="","",ROUND($J34/Summary!$B$3*100,1))</f>
        <v/>
      </c>
      <c r="M34" s="5" t="str">
        <f t="shared" si="1"/>
        <v/>
      </c>
      <c r="V34">
        <v>29</v>
      </c>
      <c r="W34" s="3"/>
      <c r="X34" s="3"/>
      <c r="Y34" s="3"/>
      <c r="Z34" s="5" t="str">
        <f>IF($X34="","",ROUND($X34/Summary!$B$3*100,1))</f>
        <v/>
      </c>
      <c r="AA34" s="5" t="str">
        <f t="shared" si="3"/>
        <v/>
      </c>
    </row>
    <row r="35" spans="1:27" x14ac:dyDescent="0.25">
      <c r="A35">
        <v>30</v>
      </c>
      <c r="B35" s="7" t="s">
        <v>85</v>
      </c>
      <c r="C35" s="3"/>
      <c r="D35" s="3"/>
      <c r="E35" s="5" t="str">
        <f>IF($C35="","",ROUND($C35/Summary!$B$3*100,1))</f>
        <v/>
      </c>
      <c r="F35" s="5" t="str">
        <f t="shared" si="0"/>
        <v/>
      </c>
      <c r="H35">
        <v>30</v>
      </c>
      <c r="I35" s="7" t="s">
        <v>86</v>
      </c>
      <c r="J35" s="3"/>
      <c r="K35" s="3"/>
      <c r="L35" s="5" t="str">
        <f>IF($J35="","",ROUND($J35/Summary!$B$3*100,1))</f>
        <v/>
      </c>
      <c r="M35" s="5" t="str">
        <f t="shared" si="1"/>
        <v/>
      </c>
      <c r="V35">
        <v>30</v>
      </c>
      <c r="W35" s="3"/>
      <c r="X35" s="3"/>
      <c r="Y35" s="3"/>
      <c r="Z35" s="5" t="str">
        <f>IF($X35="","",ROUND($X35/Summary!$B$3*100,1))</f>
        <v/>
      </c>
      <c r="AA35" s="5" t="str">
        <f t="shared" si="3"/>
        <v/>
      </c>
    </row>
    <row r="36" spans="1:27" x14ac:dyDescent="0.25">
      <c r="A36">
        <v>31</v>
      </c>
      <c r="B36" s="7" t="s">
        <v>87</v>
      </c>
      <c r="C36" s="3"/>
      <c r="D36" s="3"/>
      <c r="E36" s="5" t="str">
        <f>IF($C36="","",ROUND($C36/Summary!$B$3*100,1))</f>
        <v/>
      </c>
      <c r="F36" s="5" t="str">
        <f t="shared" si="0"/>
        <v/>
      </c>
      <c r="H36">
        <v>31</v>
      </c>
      <c r="I36" s="7" t="s">
        <v>88</v>
      </c>
      <c r="J36" s="3"/>
      <c r="K36" s="3"/>
      <c r="L36" s="5" t="str">
        <f>IF($J36="","",ROUND($J36/Summary!$B$3*100,1))</f>
        <v/>
      </c>
      <c r="M36" s="5" t="str">
        <f t="shared" si="1"/>
        <v/>
      </c>
      <c r="V36">
        <v>31</v>
      </c>
      <c r="W36" s="3"/>
      <c r="X36" s="3"/>
      <c r="Y36" s="3"/>
      <c r="Z36" s="5" t="str">
        <f>IF($X36="","",ROUND($X36/Summary!$B$3*100,1))</f>
        <v/>
      </c>
      <c r="AA36" s="5" t="str">
        <f t="shared" si="3"/>
        <v/>
      </c>
    </row>
    <row r="37" spans="1:27" x14ac:dyDescent="0.25">
      <c r="A37">
        <v>32</v>
      </c>
      <c r="B37" s="7" t="s">
        <v>89</v>
      </c>
      <c r="C37" s="3"/>
      <c r="D37" s="3"/>
      <c r="E37" s="5" t="str">
        <f>IF($C37="","",ROUND($C37/Summary!$B$3*100,1))</f>
        <v/>
      </c>
      <c r="F37" s="5" t="str">
        <f t="shared" si="0"/>
        <v/>
      </c>
      <c r="H37">
        <v>32</v>
      </c>
      <c r="I37" s="7" t="s">
        <v>90</v>
      </c>
      <c r="J37" s="3"/>
      <c r="K37" s="3"/>
      <c r="L37" s="5" t="str">
        <f>IF($J37="","",ROUND($J37/Summary!$B$3*100,1))</f>
        <v/>
      </c>
      <c r="M37" s="5" t="str">
        <f t="shared" si="1"/>
        <v/>
      </c>
      <c r="V37">
        <v>32</v>
      </c>
      <c r="W37" s="3"/>
      <c r="X37" s="3"/>
      <c r="Y37" s="3"/>
      <c r="Z37" s="5" t="str">
        <f>IF($X37="","",ROUND($X37/Summary!$B$3*100,1))</f>
        <v/>
      </c>
      <c r="AA37" s="5" t="str">
        <f t="shared" si="3"/>
        <v/>
      </c>
    </row>
    <row r="38" spans="1:27" x14ac:dyDescent="0.25">
      <c r="A38">
        <v>33</v>
      </c>
      <c r="B38" s="7" t="s">
        <v>91</v>
      </c>
      <c r="C38" s="3"/>
      <c r="D38" s="3"/>
      <c r="E38" s="5" t="str">
        <f>IF($C38="","",ROUND($C38/Summary!$B$3*100,1))</f>
        <v/>
      </c>
      <c r="F38" s="5" t="str">
        <f t="shared" ref="F38:F55" si="4">IF($C38="","",IF($C38&lt;2,"LETHAL",IF($C38&lt;4,"CRITICAL",IF($C38&lt;5,"LOW",IF($C38&lt;=8,"HEALTHY","SUPERSAT")))))</f>
        <v/>
      </c>
      <c r="H38">
        <v>33</v>
      </c>
      <c r="I38" s="7" t="s">
        <v>38</v>
      </c>
      <c r="J38" s="3"/>
      <c r="K38" s="3"/>
      <c r="L38" s="5" t="str">
        <f>IF($J38="","",ROUND($J38/Summary!$B$3*100,1))</f>
        <v/>
      </c>
      <c r="M38" s="5" t="str">
        <f t="shared" ref="M38:M55" si="5">IF($J38="","",IF($J38&lt;2,"LETHAL",IF($J38&lt;4,"CRITICAL",IF($J38&lt;5,"LOW",IF($J38&lt;=8,"HEALTHY","SUPERSAT")))))</f>
        <v/>
      </c>
      <c r="V38">
        <v>33</v>
      </c>
      <c r="W38" s="3"/>
      <c r="X38" s="3"/>
      <c r="Y38" s="3"/>
      <c r="Z38" s="5" t="str">
        <f>IF($X38="","",ROUND($X38/Summary!$B$3*100,1))</f>
        <v/>
      </c>
      <c r="AA38" s="5" t="str">
        <f t="shared" ref="AA38:AA55" si="6">IF($X38="","",IF($X38&lt;2,"LETHAL",IF($X38&lt;4,"CRITICAL",IF($X38&lt;5,"LOW",IF($X38&lt;=8,"HEALTHY","SUPERSAT")))))</f>
        <v/>
      </c>
    </row>
    <row r="39" spans="1:27" x14ac:dyDescent="0.25">
      <c r="A39">
        <v>34</v>
      </c>
      <c r="B39" s="7" t="s">
        <v>92</v>
      </c>
      <c r="C39" s="3"/>
      <c r="D39" s="3"/>
      <c r="E39" s="5" t="str">
        <f>IF($C39="","",ROUND($C39/Summary!$B$3*100,1))</f>
        <v/>
      </c>
      <c r="F39" s="5" t="str">
        <f t="shared" si="4"/>
        <v/>
      </c>
      <c r="H39">
        <v>34</v>
      </c>
      <c r="I39" s="7" t="s">
        <v>93</v>
      </c>
      <c r="J39" s="3"/>
      <c r="K39" s="3"/>
      <c r="L39" s="5" t="str">
        <f>IF($J39="","",ROUND($J39/Summary!$B$3*100,1))</f>
        <v/>
      </c>
      <c r="M39" s="5" t="str">
        <f t="shared" si="5"/>
        <v/>
      </c>
      <c r="V39">
        <v>34</v>
      </c>
      <c r="W39" s="3"/>
      <c r="X39" s="3"/>
      <c r="Y39" s="3"/>
      <c r="Z39" s="5" t="str">
        <f>IF($X39="","",ROUND($X39/Summary!$B$3*100,1))</f>
        <v/>
      </c>
      <c r="AA39" s="5" t="str">
        <f t="shared" si="6"/>
        <v/>
      </c>
    </row>
    <row r="40" spans="1:27" x14ac:dyDescent="0.25">
      <c r="A40">
        <v>35</v>
      </c>
      <c r="B40" s="7" t="s">
        <v>94</v>
      </c>
      <c r="C40" s="3"/>
      <c r="D40" s="3"/>
      <c r="E40" s="5" t="str">
        <f>IF($C40="","",ROUND($C40/Summary!$B$3*100,1))</f>
        <v/>
      </c>
      <c r="F40" s="5" t="str">
        <f t="shared" si="4"/>
        <v/>
      </c>
      <c r="H40">
        <v>35</v>
      </c>
      <c r="I40" s="7" t="s">
        <v>95</v>
      </c>
      <c r="J40" s="3"/>
      <c r="K40" s="3"/>
      <c r="L40" s="5" t="str">
        <f>IF($J40="","",ROUND($J40/Summary!$B$3*100,1))</f>
        <v/>
      </c>
      <c r="M40" s="5" t="str">
        <f t="shared" si="5"/>
        <v/>
      </c>
      <c r="V40">
        <v>35</v>
      </c>
      <c r="W40" s="3"/>
      <c r="X40" s="3"/>
      <c r="Y40" s="3"/>
      <c r="Z40" s="5" t="str">
        <f>IF($X40="","",ROUND($X40/Summary!$B$3*100,1))</f>
        <v/>
      </c>
      <c r="AA40" s="5" t="str">
        <f t="shared" si="6"/>
        <v/>
      </c>
    </row>
    <row r="41" spans="1:27" x14ac:dyDescent="0.25">
      <c r="A41">
        <v>36</v>
      </c>
      <c r="B41" s="7" t="s">
        <v>96</v>
      </c>
      <c r="C41" s="3"/>
      <c r="D41" s="3"/>
      <c r="E41" s="5" t="str">
        <f>IF($C41="","",ROUND($C41/Summary!$B$3*100,1))</f>
        <v/>
      </c>
      <c r="F41" s="5" t="str">
        <f t="shared" si="4"/>
        <v/>
      </c>
      <c r="H41">
        <v>36</v>
      </c>
      <c r="I41" s="7" t="s">
        <v>97</v>
      </c>
      <c r="J41" s="3"/>
      <c r="K41" s="3"/>
      <c r="L41" s="5" t="str">
        <f>IF($J41="","",ROUND($J41/Summary!$B$3*100,1))</f>
        <v/>
      </c>
      <c r="M41" s="5" t="str">
        <f t="shared" si="5"/>
        <v/>
      </c>
      <c r="V41">
        <v>36</v>
      </c>
      <c r="W41" s="3"/>
      <c r="X41" s="3"/>
      <c r="Y41" s="3"/>
      <c r="Z41" s="5" t="str">
        <f>IF($X41="","",ROUND($X41/Summary!$B$3*100,1))</f>
        <v/>
      </c>
      <c r="AA41" s="5" t="str">
        <f t="shared" si="6"/>
        <v/>
      </c>
    </row>
    <row r="42" spans="1:27" x14ac:dyDescent="0.25">
      <c r="A42">
        <v>37</v>
      </c>
      <c r="B42" s="7" t="s">
        <v>98</v>
      </c>
      <c r="C42" s="3"/>
      <c r="D42" s="3"/>
      <c r="E42" s="5" t="str">
        <f>IF($C42="","",ROUND($C42/Summary!$B$3*100,1))</f>
        <v/>
      </c>
      <c r="F42" s="5" t="str">
        <f t="shared" si="4"/>
        <v/>
      </c>
      <c r="H42">
        <v>37</v>
      </c>
      <c r="I42" s="7" t="s">
        <v>40</v>
      </c>
      <c r="J42" s="3"/>
      <c r="K42" s="3"/>
      <c r="L42" s="5" t="str">
        <f>IF($J42="","",ROUND($J42/Summary!$B$3*100,1))</f>
        <v/>
      </c>
      <c r="M42" s="5" t="str">
        <f t="shared" si="5"/>
        <v/>
      </c>
      <c r="V42">
        <v>37</v>
      </c>
      <c r="W42" s="3"/>
      <c r="X42" s="3"/>
      <c r="Y42" s="3"/>
      <c r="Z42" s="5" t="str">
        <f>IF($X42="","",ROUND($X42/Summary!$B$3*100,1))</f>
        <v/>
      </c>
      <c r="AA42" s="5" t="str">
        <f t="shared" si="6"/>
        <v/>
      </c>
    </row>
    <row r="43" spans="1:27" x14ac:dyDescent="0.25">
      <c r="A43">
        <v>38</v>
      </c>
      <c r="B43" s="7" t="s">
        <v>99</v>
      </c>
      <c r="C43" s="3"/>
      <c r="D43" s="3"/>
      <c r="E43" s="5" t="str">
        <f>IF($C43="","",ROUND($C43/Summary!$B$3*100,1))</f>
        <v/>
      </c>
      <c r="F43" s="5" t="str">
        <f t="shared" si="4"/>
        <v/>
      </c>
      <c r="H43">
        <v>38</v>
      </c>
      <c r="I43" s="7" t="s">
        <v>100</v>
      </c>
      <c r="J43" s="3"/>
      <c r="K43" s="3"/>
      <c r="L43" s="5" t="str">
        <f>IF($J43="","",ROUND($J43/Summary!$B$3*100,1))</f>
        <v/>
      </c>
      <c r="M43" s="5" t="str">
        <f t="shared" si="5"/>
        <v/>
      </c>
      <c r="V43">
        <v>38</v>
      </c>
      <c r="W43" s="3"/>
      <c r="X43" s="3"/>
      <c r="Y43" s="3"/>
      <c r="Z43" s="5" t="str">
        <f>IF($X43="","",ROUND($X43/Summary!$B$3*100,1))</f>
        <v/>
      </c>
      <c r="AA43" s="5" t="str">
        <f t="shared" si="6"/>
        <v/>
      </c>
    </row>
    <row r="44" spans="1:27" x14ac:dyDescent="0.25">
      <c r="A44">
        <v>39</v>
      </c>
      <c r="B44" s="7" t="s">
        <v>101</v>
      </c>
      <c r="C44" s="3"/>
      <c r="D44" s="3"/>
      <c r="E44" s="5" t="str">
        <f>IF($C44="","",ROUND($C44/Summary!$B$3*100,1))</f>
        <v/>
      </c>
      <c r="F44" s="5" t="str">
        <f t="shared" si="4"/>
        <v/>
      </c>
      <c r="H44">
        <v>39</v>
      </c>
      <c r="I44" s="7" t="s">
        <v>102</v>
      </c>
      <c r="J44" s="3"/>
      <c r="K44" s="3"/>
      <c r="L44" s="5" t="str">
        <f>IF($J44="","",ROUND($J44/Summary!$B$3*100,1))</f>
        <v/>
      </c>
      <c r="M44" s="5" t="str">
        <f t="shared" si="5"/>
        <v/>
      </c>
      <c r="V44">
        <v>39</v>
      </c>
      <c r="W44" s="3"/>
      <c r="X44" s="3"/>
      <c r="Y44" s="3"/>
      <c r="Z44" s="5" t="str">
        <f>IF($X44="","",ROUND($X44/Summary!$B$3*100,1))</f>
        <v/>
      </c>
      <c r="AA44" s="5" t="str">
        <f t="shared" si="6"/>
        <v/>
      </c>
    </row>
    <row r="45" spans="1:27" x14ac:dyDescent="0.25">
      <c r="A45">
        <v>40</v>
      </c>
      <c r="B45" s="7" t="s">
        <v>103</v>
      </c>
      <c r="C45" s="3"/>
      <c r="D45" s="3"/>
      <c r="E45" s="5" t="str">
        <f>IF($C45="","",ROUND($C45/Summary!$B$3*100,1))</f>
        <v/>
      </c>
      <c r="F45" s="5" t="str">
        <f t="shared" si="4"/>
        <v/>
      </c>
      <c r="H45">
        <v>40</v>
      </c>
      <c r="I45" s="7" t="s">
        <v>104</v>
      </c>
      <c r="J45" s="3"/>
      <c r="K45" s="3"/>
      <c r="L45" s="5" t="str">
        <f>IF($J45="","",ROUND($J45/Summary!$B$3*100,1))</f>
        <v/>
      </c>
      <c r="M45" s="5" t="str">
        <f t="shared" si="5"/>
        <v/>
      </c>
      <c r="V45">
        <v>40</v>
      </c>
      <c r="W45" s="3"/>
      <c r="X45" s="3"/>
      <c r="Y45" s="3"/>
      <c r="Z45" s="5" t="str">
        <f>IF($X45="","",ROUND($X45/Summary!$B$3*100,1))</f>
        <v/>
      </c>
      <c r="AA45" s="5" t="str">
        <f t="shared" si="6"/>
        <v/>
      </c>
    </row>
    <row r="46" spans="1:27" x14ac:dyDescent="0.25">
      <c r="A46">
        <v>41</v>
      </c>
      <c r="B46" s="7" t="s">
        <v>105</v>
      </c>
      <c r="C46" s="3"/>
      <c r="D46" s="3"/>
      <c r="E46" s="5" t="str">
        <f>IF($C46="","",ROUND($C46/Summary!$B$3*100,1))</f>
        <v/>
      </c>
      <c r="F46" s="5" t="str">
        <f t="shared" si="4"/>
        <v/>
      </c>
      <c r="H46">
        <v>41</v>
      </c>
      <c r="I46" s="7" t="s">
        <v>43</v>
      </c>
      <c r="J46" s="3"/>
      <c r="K46" s="3"/>
      <c r="L46" s="5" t="str">
        <f>IF($J46="","",ROUND($J46/Summary!$B$3*100,1))</f>
        <v/>
      </c>
      <c r="M46" s="5" t="str">
        <f t="shared" si="5"/>
        <v/>
      </c>
      <c r="V46">
        <v>41</v>
      </c>
      <c r="W46" s="3"/>
      <c r="X46" s="3"/>
      <c r="Y46" s="3"/>
      <c r="Z46" s="5" t="str">
        <f>IF($X46="","",ROUND($X46/Summary!$B$3*100,1))</f>
        <v/>
      </c>
      <c r="AA46" s="5" t="str">
        <f t="shared" si="6"/>
        <v/>
      </c>
    </row>
    <row r="47" spans="1:27" x14ac:dyDescent="0.25">
      <c r="A47">
        <v>42</v>
      </c>
      <c r="B47" s="7" t="s">
        <v>106</v>
      </c>
      <c r="C47" s="3"/>
      <c r="D47" s="3"/>
      <c r="E47" s="5" t="str">
        <f>IF($C47="","",ROUND($C47/Summary!$B$3*100,1))</f>
        <v/>
      </c>
      <c r="F47" s="5" t="str">
        <f t="shared" si="4"/>
        <v/>
      </c>
      <c r="H47">
        <v>42</v>
      </c>
      <c r="I47" s="7" t="s">
        <v>107</v>
      </c>
      <c r="J47" s="3"/>
      <c r="K47" s="3"/>
      <c r="L47" s="5" t="str">
        <f>IF($J47="","",ROUND($J47/Summary!$B$3*100,1))</f>
        <v/>
      </c>
      <c r="M47" s="5" t="str">
        <f t="shared" si="5"/>
        <v/>
      </c>
      <c r="V47">
        <v>42</v>
      </c>
      <c r="W47" s="3"/>
      <c r="X47" s="3"/>
      <c r="Y47" s="3"/>
      <c r="Z47" s="5" t="str">
        <f>IF($X47="","",ROUND($X47/Summary!$B$3*100,1))</f>
        <v/>
      </c>
      <c r="AA47" s="5" t="str">
        <f t="shared" si="6"/>
        <v/>
      </c>
    </row>
    <row r="48" spans="1:27" x14ac:dyDescent="0.25">
      <c r="A48">
        <v>43</v>
      </c>
      <c r="B48" s="7" t="s">
        <v>108</v>
      </c>
      <c r="C48" s="3"/>
      <c r="D48" s="3"/>
      <c r="E48" s="5" t="str">
        <f>IF($C48="","",ROUND($C48/Summary!$B$3*100,1))</f>
        <v/>
      </c>
      <c r="F48" s="5" t="str">
        <f t="shared" si="4"/>
        <v/>
      </c>
      <c r="H48">
        <v>43</v>
      </c>
      <c r="I48" s="7" t="s">
        <v>109</v>
      </c>
      <c r="J48" s="3"/>
      <c r="K48" s="3"/>
      <c r="L48" s="5" t="str">
        <f>IF($J48="","",ROUND($J48/Summary!$B$3*100,1))</f>
        <v/>
      </c>
      <c r="M48" s="5" t="str">
        <f t="shared" si="5"/>
        <v/>
      </c>
      <c r="V48">
        <v>43</v>
      </c>
      <c r="W48" s="3"/>
      <c r="X48" s="3"/>
      <c r="Y48" s="3"/>
      <c r="Z48" s="5" t="str">
        <f>IF($X48="","",ROUND($X48/Summary!$B$3*100,1))</f>
        <v/>
      </c>
      <c r="AA48" s="5" t="str">
        <f t="shared" si="6"/>
        <v/>
      </c>
    </row>
    <row r="49" spans="1:27" x14ac:dyDescent="0.25">
      <c r="A49">
        <v>44</v>
      </c>
      <c r="B49" s="7" t="s">
        <v>110</v>
      </c>
      <c r="C49" s="3"/>
      <c r="D49" s="3"/>
      <c r="E49" s="5" t="str">
        <f>IF($C49="","",ROUND($C49/Summary!$B$3*100,1))</f>
        <v/>
      </c>
      <c r="F49" s="5" t="str">
        <f t="shared" si="4"/>
        <v/>
      </c>
      <c r="H49">
        <v>44</v>
      </c>
      <c r="I49" s="7" t="s">
        <v>111</v>
      </c>
      <c r="J49" s="3"/>
      <c r="K49" s="3"/>
      <c r="L49" s="5" t="str">
        <f>IF($J49="","",ROUND($J49/Summary!$B$3*100,1))</f>
        <v/>
      </c>
      <c r="M49" s="5" t="str">
        <f t="shared" si="5"/>
        <v/>
      </c>
      <c r="V49">
        <v>44</v>
      </c>
      <c r="W49" s="3"/>
      <c r="X49" s="3"/>
      <c r="Y49" s="3"/>
      <c r="Z49" s="5" t="str">
        <f>IF($X49="","",ROUND($X49/Summary!$B$3*100,1))</f>
        <v/>
      </c>
      <c r="AA49" s="5" t="str">
        <f t="shared" si="6"/>
        <v/>
      </c>
    </row>
    <row r="50" spans="1:27" x14ac:dyDescent="0.25">
      <c r="A50">
        <v>45</v>
      </c>
      <c r="B50" s="7" t="s">
        <v>112</v>
      </c>
      <c r="C50" s="3"/>
      <c r="D50" s="3"/>
      <c r="E50" s="5" t="str">
        <f>IF($C50="","",ROUND($C50/Summary!$B$3*100,1))</f>
        <v/>
      </c>
      <c r="F50" s="5" t="str">
        <f t="shared" si="4"/>
        <v/>
      </c>
      <c r="H50">
        <v>45</v>
      </c>
      <c r="I50" s="7" t="s">
        <v>46</v>
      </c>
      <c r="J50" s="3"/>
      <c r="K50" s="3"/>
      <c r="L50" s="5" t="str">
        <f>IF($J50="","",ROUND($J50/Summary!$B$3*100,1))</f>
        <v/>
      </c>
      <c r="M50" s="5" t="str">
        <f t="shared" si="5"/>
        <v/>
      </c>
      <c r="V50">
        <v>45</v>
      </c>
      <c r="W50" s="3"/>
      <c r="X50" s="3"/>
      <c r="Y50" s="3"/>
      <c r="Z50" s="5" t="str">
        <f>IF($X50="","",ROUND($X50/Summary!$B$3*100,1))</f>
        <v/>
      </c>
      <c r="AA50" s="5" t="str">
        <f t="shared" si="6"/>
        <v/>
      </c>
    </row>
    <row r="51" spans="1:27" x14ac:dyDescent="0.25">
      <c r="A51">
        <v>46</v>
      </c>
      <c r="B51" s="7" t="s">
        <v>113</v>
      </c>
      <c r="C51" s="3"/>
      <c r="D51" s="3"/>
      <c r="E51" s="5" t="str">
        <f>IF($C51="","",ROUND($C51/Summary!$B$3*100,1))</f>
        <v/>
      </c>
      <c r="F51" s="5" t="str">
        <f t="shared" si="4"/>
        <v/>
      </c>
      <c r="H51">
        <v>46</v>
      </c>
      <c r="I51" s="7" t="s">
        <v>114</v>
      </c>
      <c r="J51" s="3"/>
      <c r="K51" s="3"/>
      <c r="L51" s="5" t="str">
        <f>IF($J51="","",ROUND($J51/Summary!$B$3*100,1))</f>
        <v/>
      </c>
      <c r="M51" s="5" t="str">
        <f t="shared" si="5"/>
        <v/>
      </c>
      <c r="V51">
        <v>46</v>
      </c>
      <c r="W51" s="3"/>
      <c r="X51" s="3"/>
      <c r="Y51" s="3"/>
      <c r="Z51" s="5" t="str">
        <f>IF($X51="","",ROUND($X51/Summary!$B$3*100,1))</f>
        <v/>
      </c>
      <c r="AA51" s="5" t="str">
        <f t="shared" si="6"/>
        <v/>
      </c>
    </row>
    <row r="52" spans="1:27" x14ac:dyDescent="0.25">
      <c r="A52">
        <v>47</v>
      </c>
      <c r="B52" s="7" t="s">
        <v>115</v>
      </c>
      <c r="C52" s="3"/>
      <c r="D52" s="3"/>
      <c r="E52" s="5" t="str">
        <f>IF($C52="","",ROUND($C52/Summary!$B$3*100,1))</f>
        <v/>
      </c>
      <c r="F52" s="5" t="str">
        <f t="shared" si="4"/>
        <v/>
      </c>
      <c r="H52">
        <v>47</v>
      </c>
      <c r="I52" s="7" t="s">
        <v>116</v>
      </c>
      <c r="J52" s="3"/>
      <c r="K52" s="3"/>
      <c r="L52" s="5" t="str">
        <f>IF($J52="","",ROUND($J52/Summary!$B$3*100,1))</f>
        <v/>
      </c>
      <c r="M52" s="5" t="str">
        <f t="shared" si="5"/>
        <v/>
      </c>
      <c r="V52">
        <v>47</v>
      </c>
      <c r="W52" s="3"/>
      <c r="X52" s="3"/>
      <c r="Y52" s="3"/>
      <c r="Z52" s="5" t="str">
        <f>IF($X52="","",ROUND($X52/Summary!$B$3*100,1))</f>
        <v/>
      </c>
      <c r="AA52" s="5" t="str">
        <f t="shared" si="6"/>
        <v/>
      </c>
    </row>
    <row r="53" spans="1:27" x14ac:dyDescent="0.25">
      <c r="A53">
        <v>48</v>
      </c>
      <c r="B53" s="7" t="s">
        <v>117</v>
      </c>
      <c r="C53" s="3"/>
      <c r="D53" s="3"/>
      <c r="E53" s="5" t="str">
        <f>IF($C53="","",ROUND($C53/Summary!$B$3*100,1))</f>
        <v/>
      </c>
      <c r="F53" s="5" t="str">
        <f t="shared" si="4"/>
        <v/>
      </c>
      <c r="H53">
        <v>48</v>
      </c>
      <c r="I53" s="7" t="s">
        <v>118</v>
      </c>
      <c r="J53" s="3"/>
      <c r="K53" s="3"/>
      <c r="L53" s="5" t="str">
        <f>IF($J53="","",ROUND($J53/Summary!$B$3*100,1))</f>
        <v/>
      </c>
      <c r="M53" s="5" t="str">
        <f t="shared" si="5"/>
        <v/>
      </c>
      <c r="V53">
        <v>48</v>
      </c>
      <c r="W53" s="3"/>
      <c r="X53" s="3"/>
      <c r="Y53" s="3"/>
      <c r="Z53" s="5" t="str">
        <f>IF($X53="","",ROUND($X53/Summary!$B$3*100,1))</f>
        <v/>
      </c>
      <c r="AA53" s="5" t="str">
        <f t="shared" si="6"/>
        <v/>
      </c>
    </row>
    <row r="54" spans="1:27" x14ac:dyDescent="0.25">
      <c r="A54">
        <v>49</v>
      </c>
      <c r="B54" s="7" t="s">
        <v>119</v>
      </c>
      <c r="C54" s="3"/>
      <c r="D54" s="3"/>
      <c r="E54" s="5" t="str">
        <f>IF($C54="","",ROUND($C54/Summary!$B$3*100,1))</f>
        <v/>
      </c>
      <c r="F54" s="5" t="str">
        <f t="shared" si="4"/>
        <v/>
      </c>
      <c r="H54">
        <v>49</v>
      </c>
      <c r="I54" s="7" t="s">
        <v>48</v>
      </c>
      <c r="J54" s="3"/>
      <c r="K54" s="3"/>
      <c r="L54" s="5" t="str">
        <f>IF($J54="","",ROUND($J54/Summary!$B$3*100,1))</f>
        <v/>
      </c>
      <c r="M54" s="5" t="str">
        <f t="shared" si="5"/>
        <v/>
      </c>
      <c r="V54">
        <v>49</v>
      </c>
      <c r="W54" s="3"/>
      <c r="X54" s="3"/>
      <c r="Y54" s="3"/>
      <c r="Z54" s="5" t="str">
        <f>IF($X54="","",ROUND($X54/Summary!$B$3*100,1))</f>
        <v/>
      </c>
      <c r="AA54" s="5" t="str">
        <f t="shared" si="6"/>
        <v/>
      </c>
    </row>
    <row r="55" spans="1:27" x14ac:dyDescent="0.25">
      <c r="A55">
        <v>50</v>
      </c>
      <c r="B55" s="7" t="s">
        <v>120</v>
      </c>
      <c r="C55" s="3"/>
      <c r="D55" s="3"/>
      <c r="E55" s="5" t="str">
        <f>IF($C55="","",ROUND($C55/Summary!$B$3*100,1))</f>
        <v/>
      </c>
      <c r="F55" s="5" t="str">
        <f t="shared" si="4"/>
        <v/>
      </c>
      <c r="H55">
        <v>50</v>
      </c>
      <c r="I55" s="7" t="s">
        <v>121</v>
      </c>
      <c r="J55" s="3"/>
      <c r="K55" s="3"/>
      <c r="L55" s="5" t="str">
        <f>IF($J55="","",ROUND($J55/Summary!$B$3*100,1))</f>
        <v/>
      </c>
      <c r="M55" s="5" t="str">
        <f t="shared" si="5"/>
        <v/>
      </c>
      <c r="V55">
        <v>50</v>
      </c>
      <c r="W55" s="3"/>
      <c r="X55" s="3"/>
      <c r="Y55" s="3"/>
      <c r="Z55" s="5" t="str">
        <f>IF($X55="","",ROUND($X55/Summary!$B$3*100,1))</f>
        <v/>
      </c>
      <c r="AA55" s="5" t="str">
        <f t="shared" si="6"/>
        <v/>
      </c>
    </row>
    <row r="57" spans="1:27" x14ac:dyDescent="0.25">
      <c r="A57" s="4" t="s">
        <v>49</v>
      </c>
      <c r="V57" s="4" t="s">
        <v>49</v>
      </c>
    </row>
    <row r="58" spans="1:27" x14ac:dyDescent="0.25">
      <c r="B58" s="8" t="s">
        <v>52</v>
      </c>
      <c r="C58" s="5">
        <f>COUNT(C6:C55)</f>
        <v>0</v>
      </c>
      <c r="I58" s="8" t="s">
        <v>52</v>
      </c>
      <c r="J58" s="5">
        <f>COUNT(J6:J55)</f>
        <v>0</v>
      </c>
      <c r="W58" s="8" t="s">
        <v>52</v>
      </c>
      <c r="X58" s="5">
        <f>COUNT(X6:X55)</f>
        <v>0</v>
      </c>
    </row>
    <row r="59" spans="1:27" x14ac:dyDescent="0.25">
      <c r="B59" s="8" t="s">
        <v>55</v>
      </c>
      <c r="C59" s="5" t="str">
        <f>IFERROR(AVERAGE(C6:C55),"")</f>
        <v/>
      </c>
      <c r="I59" s="8" t="s">
        <v>55</v>
      </c>
      <c r="J59" s="5" t="str">
        <f>IFERROR(AVERAGE(J6:J55),"")</f>
        <v/>
      </c>
      <c r="W59" s="8" t="s">
        <v>55</v>
      </c>
      <c r="X59" s="5" t="str">
        <f>IFERROR(AVERAGE(X6:X55),"")</f>
        <v/>
      </c>
    </row>
    <row r="60" spans="1:27" x14ac:dyDescent="0.25">
      <c r="B60" s="8" t="s">
        <v>58</v>
      </c>
      <c r="C60" s="5" t="str">
        <f ca="1">IFERROR(_xludf.STDEV.S(C6:C55),"")</f>
        <v/>
      </c>
      <c r="I60" s="8" t="s">
        <v>58</v>
      </c>
      <c r="J60" s="5" t="str">
        <f ca="1">IFERROR(_xludf.STDEV.S(J6:J55),"")</f>
        <v/>
      </c>
      <c r="W60" s="8" t="s">
        <v>58</v>
      </c>
      <c r="X60" s="5" t="str">
        <f ca="1">IFERROR(_xludf.STDEV.S(X6:X55),"")</f>
        <v/>
      </c>
    </row>
    <row r="61" spans="1:27" x14ac:dyDescent="0.25">
      <c r="B61" s="8" t="s">
        <v>60</v>
      </c>
      <c r="C61" s="5">
        <f>IFERROR(MIN(C6:C55),"")</f>
        <v>0</v>
      </c>
      <c r="I61" s="8" t="s">
        <v>60</v>
      </c>
      <c r="J61" s="5">
        <f>IFERROR(MIN(J6:J55),"")</f>
        <v>0</v>
      </c>
      <c r="W61" s="8" t="s">
        <v>60</v>
      </c>
      <c r="X61" s="5">
        <f>IFERROR(MIN(X6:X55),"")</f>
        <v>0</v>
      </c>
    </row>
    <row r="62" spans="1:27" x14ac:dyDescent="0.25">
      <c r="B62" s="8" t="s">
        <v>63</v>
      </c>
      <c r="C62" s="5">
        <f>IFERROR(MAX(C6:C55),"")</f>
        <v>0</v>
      </c>
      <c r="I62" s="8" t="s">
        <v>63</v>
      </c>
      <c r="J62" s="5">
        <f>IFERROR(MAX(J6:J55),"")</f>
        <v>0</v>
      </c>
      <c r="W62" s="8" t="s">
        <v>63</v>
      </c>
      <c r="X62" s="5">
        <f>IFERROR(MAX(X6:X55),"")</f>
        <v>0</v>
      </c>
    </row>
    <row r="63" spans="1:27" x14ac:dyDescent="0.25">
      <c r="B63" s="8" t="s">
        <v>66</v>
      </c>
      <c r="C63" s="5" t="str">
        <f>IF(COUNT(C6:C55)=0,"",MAX(C6:C55)-MIN(C6:C55))</f>
        <v/>
      </c>
      <c r="I63" s="8" t="s">
        <v>66</v>
      </c>
      <c r="J63" s="5" t="str">
        <f>IF(COUNT(J6:J55)=0,"",MAX(J6:J55)-MIN(J6:J55))</f>
        <v/>
      </c>
      <c r="W63" s="8" t="s">
        <v>66</v>
      </c>
      <c r="X63" s="5" t="str">
        <f>IF(COUNT(X6:X55)=0,"",MAX(X6:X55)-MIN(X6:X55))</f>
        <v/>
      </c>
    </row>
    <row r="64" spans="1:27" x14ac:dyDescent="0.25">
      <c r="B64" s="8" t="s">
        <v>69</v>
      </c>
      <c r="C64" s="5" t="str">
        <f>IFERROR(AVERAGE(E6:E55),"")</f>
        <v/>
      </c>
      <c r="I64" s="8" t="s">
        <v>69</v>
      </c>
      <c r="J64" s="5" t="str">
        <f>IFERROR(AVERAGE(L6:L55),"")</f>
        <v/>
      </c>
      <c r="W64" s="8" t="s">
        <v>69</v>
      </c>
      <c r="X64" s="5" t="str">
        <f>IFERROR(AVERAGE(Z6:Z55),"")</f>
        <v/>
      </c>
    </row>
    <row r="66" spans="1:1" x14ac:dyDescent="0.25">
      <c r="A66" s="4" t="s">
        <v>122</v>
      </c>
    </row>
    <row r="67" spans="1:1" x14ac:dyDescent="0.25">
      <c r="A67" s="6" t="s">
        <v>123</v>
      </c>
    </row>
    <row r="68" spans="1:1" x14ac:dyDescent="0.25">
      <c r="A68" s="6" t="s">
        <v>124</v>
      </c>
    </row>
    <row r="69" spans="1:1" x14ac:dyDescent="0.25">
      <c r="A69" s="6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workbookViewId="0"/>
  </sheetViews>
  <sheetFormatPr defaultRowHeight="15" x14ac:dyDescent="0.25"/>
  <cols>
    <col min="1" max="1" width="30" customWidth="1"/>
    <col min="2" max="17" width="10" customWidth="1"/>
  </cols>
  <sheetData>
    <row r="1" spans="1:17" ht="18.75" x14ac:dyDescent="0.3">
      <c r="A1" s="1" t="s">
        <v>131</v>
      </c>
    </row>
    <row r="3" spans="1:17" x14ac:dyDescent="0.25">
      <c r="A3" s="4" t="s">
        <v>132</v>
      </c>
      <c r="B3" s="3">
        <v>13.5</v>
      </c>
    </row>
    <row r="4" spans="1:17" x14ac:dyDescent="0.25">
      <c r="A4" s="6" t="s">
        <v>133</v>
      </c>
    </row>
    <row r="5" spans="1:17" x14ac:dyDescent="0.25">
      <c r="A5" s="6" t="s">
        <v>134</v>
      </c>
    </row>
    <row r="6" spans="1:17" x14ac:dyDescent="0.25">
      <c r="A6" s="6" t="s">
        <v>135</v>
      </c>
    </row>
    <row r="8" spans="1:17" x14ac:dyDescent="0.25">
      <c r="B8" s="4" t="s">
        <v>136</v>
      </c>
      <c r="F8" s="4" t="s">
        <v>137</v>
      </c>
      <c r="J8" s="4" t="s">
        <v>138</v>
      </c>
      <c r="N8" s="4" t="s">
        <v>139</v>
      </c>
    </row>
    <row r="9" spans="1:17" x14ac:dyDescent="0.25">
      <c r="A9" s="2" t="s">
        <v>140</v>
      </c>
      <c r="B9" s="2" t="s">
        <v>141</v>
      </c>
      <c r="C9" s="2" t="s">
        <v>55</v>
      </c>
      <c r="D9" s="2" t="s">
        <v>142</v>
      </c>
      <c r="E9" s="2" t="s">
        <v>143</v>
      </c>
      <c r="F9" s="2" t="s">
        <v>141</v>
      </c>
      <c r="G9" s="2" t="s">
        <v>55</v>
      </c>
      <c r="H9" s="2" t="s">
        <v>142</v>
      </c>
      <c r="I9" s="2" t="s">
        <v>143</v>
      </c>
      <c r="J9" s="2" t="s">
        <v>141</v>
      </c>
      <c r="K9" s="2" t="s">
        <v>55</v>
      </c>
      <c r="L9" s="2" t="s">
        <v>142</v>
      </c>
      <c r="M9" s="2" t="s">
        <v>143</v>
      </c>
      <c r="N9" s="2" t="s">
        <v>141</v>
      </c>
      <c r="O9" s="2" t="s">
        <v>55</v>
      </c>
      <c r="P9" s="2" t="s">
        <v>142</v>
      </c>
      <c r="Q9" s="2" t="s">
        <v>143</v>
      </c>
    </row>
    <row r="10" spans="1:17" x14ac:dyDescent="0.25">
      <c r="A10" s="8" t="s">
        <v>144</v>
      </c>
      <c r="B10" s="5">
        <f>'Day 1'!C58</f>
        <v>50</v>
      </c>
      <c r="C10" s="5">
        <f>'Day 1'!C59</f>
        <v>12.278000000000002</v>
      </c>
      <c r="D10" s="5">
        <f>'Day 1'!C60</f>
        <v>0</v>
      </c>
      <c r="E10" s="5">
        <f>'Day 1'!C64</f>
        <v>90.954000000000036</v>
      </c>
      <c r="F10" s="5">
        <f>'Day 1'!J58</f>
        <v>50</v>
      </c>
      <c r="G10" s="5">
        <f>'Day 1'!J59</f>
        <v>12.466000000000006</v>
      </c>
      <c r="H10" s="5" t="str">
        <f ca="1">'Day 1'!J60</f>
        <v/>
      </c>
      <c r="I10" s="5">
        <f>'Day 1'!J64</f>
        <v>92.335999999999999</v>
      </c>
      <c r="J10" s="5">
        <f>'Day 1'!Q19</f>
        <v>11</v>
      </c>
      <c r="K10" s="5">
        <f>'Day 1'!Q20</f>
        <v>12.381818181818181</v>
      </c>
      <c r="L10" s="5" t="str">
        <f ca="1">'Day 1'!Q21</f>
        <v/>
      </c>
      <c r="M10" s="5">
        <f>'Day 1'!Q25</f>
        <v>91.727272727272734</v>
      </c>
      <c r="N10" s="5">
        <f>'Day 1'!X58</f>
        <v>0</v>
      </c>
      <c r="O10" s="5" t="str">
        <f>'Day 1'!X59</f>
        <v/>
      </c>
      <c r="P10" s="5" t="str">
        <f ca="1">'Day 1'!X60</f>
        <v/>
      </c>
      <c r="Q10" s="5" t="str">
        <f>'Day 1'!X64</f>
        <v/>
      </c>
    </row>
    <row r="11" spans="1:17" x14ac:dyDescent="0.25">
      <c r="A11" s="8" t="s">
        <v>145</v>
      </c>
      <c r="B11" s="5">
        <f>'Day 2'!C58</f>
        <v>50</v>
      </c>
      <c r="C11" s="5">
        <f>'Day 2'!C59</f>
        <v>4.5220000000000002</v>
      </c>
      <c r="D11" s="5" t="str">
        <f ca="1">'Day 2'!C60</f>
        <v/>
      </c>
      <c r="E11" s="5">
        <f>'Day 2'!C64</f>
        <v>33.497999999999998</v>
      </c>
      <c r="F11" s="5">
        <f>'Day 2'!J58</f>
        <v>50</v>
      </c>
      <c r="G11" s="5">
        <f>'Day 2'!J59</f>
        <v>5.4659999999999993</v>
      </c>
      <c r="H11" s="5" t="str">
        <f ca="1">'Day 2'!J60</f>
        <v/>
      </c>
      <c r="I11" s="5">
        <f>'Day 2'!J64</f>
        <v>40.478000000000016</v>
      </c>
      <c r="J11" s="5">
        <f>'Day 2'!Q19</f>
        <v>11</v>
      </c>
      <c r="K11" s="5">
        <f>'Day 2'!Q20</f>
        <v>5.3</v>
      </c>
      <c r="L11" s="5" t="str">
        <f ca="1">'Day 2'!Q21</f>
        <v/>
      </c>
      <c r="M11" s="5">
        <f>'Day 2'!Q25</f>
        <v>39.254545454545458</v>
      </c>
      <c r="N11" s="5">
        <f>'Day 2'!X58</f>
        <v>0</v>
      </c>
      <c r="O11" s="5" t="str">
        <f>'Day 2'!X59</f>
        <v/>
      </c>
      <c r="P11" s="5" t="str">
        <f ca="1">'Day 2'!X60</f>
        <v/>
      </c>
      <c r="Q11" s="5" t="str">
        <f>'Day 2'!X64</f>
        <v/>
      </c>
    </row>
    <row r="12" spans="1:17" x14ac:dyDescent="0.25">
      <c r="A12" s="8" t="s">
        <v>146</v>
      </c>
      <c r="B12" s="5">
        <f>'Day 3'!C58</f>
        <v>50</v>
      </c>
      <c r="C12" s="5">
        <f>'Day 3'!C59</f>
        <v>5.5340000000000007</v>
      </c>
      <c r="D12" s="5" t="str">
        <f ca="1">'Day 3'!C60</f>
        <v/>
      </c>
      <c r="E12" s="5">
        <f>'Day 3'!C64</f>
        <v>40.978000000000023</v>
      </c>
      <c r="F12" s="5">
        <f>'Day 3'!J58</f>
        <v>50</v>
      </c>
      <c r="G12" s="5">
        <f>'Day 3'!J59</f>
        <v>5.8839999999999986</v>
      </c>
      <c r="H12" s="5" t="str">
        <f ca="1">'Day 3'!J60</f>
        <v/>
      </c>
      <c r="I12" s="5">
        <f>'Day 3'!J64</f>
        <v>43.578000000000017</v>
      </c>
      <c r="J12" s="5">
        <f>'Day 3'!Q19</f>
        <v>11</v>
      </c>
      <c r="K12" s="5">
        <f>'Day 3'!Q20</f>
        <v>7.1909090909090905</v>
      </c>
      <c r="L12" s="5" t="str">
        <f ca="1">'Day 3'!Q21</f>
        <v/>
      </c>
      <c r="M12" s="5">
        <f>'Day 3'!Q25</f>
        <v>53.25454545454545</v>
      </c>
      <c r="N12" s="5">
        <f>'Day 3'!X58</f>
        <v>0</v>
      </c>
      <c r="O12" s="5" t="str">
        <f>'Day 3'!X59</f>
        <v/>
      </c>
      <c r="P12" s="5" t="str">
        <f ca="1">'Day 3'!X60</f>
        <v/>
      </c>
      <c r="Q12" s="5" t="str">
        <f>'Day 3'!X64</f>
        <v/>
      </c>
    </row>
    <row r="13" spans="1:17" x14ac:dyDescent="0.25">
      <c r="A13" s="8" t="s">
        <v>147</v>
      </c>
      <c r="B13" s="5">
        <f>'Day 4'!C58</f>
        <v>50</v>
      </c>
      <c r="C13" s="5">
        <f>'Day 4'!C59</f>
        <v>5.5280000000000022</v>
      </c>
      <c r="D13" s="5" t="str">
        <f ca="1">'Day 4'!C60</f>
        <v/>
      </c>
      <c r="E13" s="5">
        <f>'Day 4'!C64</f>
        <v>40.934000000000019</v>
      </c>
      <c r="F13" s="5">
        <f>'Day 4'!J58</f>
        <v>50</v>
      </c>
      <c r="G13" s="5">
        <f>'Day 4'!J59</f>
        <v>5.969999999999998</v>
      </c>
      <c r="H13" s="5" t="str">
        <f ca="1">'Day 4'!J60</f>
        <v/>
      </c>
      <c r="I13" s="5">
        <f>'Day 4'!J64</f>
        <v>44.208000000000027</v>
      </c>
      <c r="J13" s="5">
        <f>'Day 4'!Q19</f>
        <v>11</v>
      </c>
      <c r="K13" s="5">
        <f>'Day 4'!Q20</f>
        <v>6.9909090909090912</v>
      </c>
      <c r="L13" s="5" t="str">
        <f ca="1">'Day 4'!Q21</f>
        <v/>
      </c>
      <c r="M13" s="5">
        <f>'Day 4'!Q25</f>
        <v>51.790909090909096</v>
      </c>
      <c r="N13" s="5">
        <f>'Day 4'!X58</f>
        <v>0</v>
      </c>
      <c r="O13" s="5" t="str">
        <f>'Day 4'!X59</f>
        <v/>
      </c>
      <c r="P13" s="5" t="str">
        <f ca="1">'Day 4'!X60</f>
        <v/>
      </c>
      <c r="Q13" s="5" t="str">
        <f>'Day 4'!X64</f>
        <v/>
      </c>
    </row>
    <row r="14" spans="1:17" x14ac:dyDescent="0.25">
      <c r="A14" s="8" t="s">
        <v>148</v>
      </c>
      <c r="B14" s="5">
        <f>'Day 5'!C58</f>
        <v>0</v>
      </c>
      <c r="C14" s="5" t="str">
        <f>'Day 5'!C59</f>
        <v/>
      </c>
      <c r="D14" s="5" t="str">
        <f ca="1">'Day 5'!C60</f>
        <v/>
      </c>
      <c r="E14" s="5" t="str">
        <f>'Day 5'!C64</f>
        <v/>
      </c>
      <c r="F14" s="5">
        <f>'Day 5'!J58</f>
        <v>0</v>
      </c>
      <c r="G14" s="5" t="str">
        <f>'Day 5'!J59</f>
        <v/>
      </c>
      <c r="H14" s="5" t="str">
        <f ca="1">'Day 5'!J60</f>
        <v/>
      </c>
      <c r="I14" s="5" t="str">
        <f>'Day 5'!J64</f>
        <v/>
      </c>
      <c r="J14" s="5">
        <f>'Day 5'!Q19</f>
        <v>0</v>
      </c>
      <c r="K14" s="5" t="str">
        <f>'Day 5'!Q20</f>
        <v/>
      </c>
      <c r="L14" s="5" t="str">
        <f ca="1">'Day 5'!Q21</f>
        <v/>
      </c>
      <c r="M14" s="5" t="str">
        <f>'Day 5'!Q25</f>
        <v/>
      </c>
      <c r="N14" s="5">
        <f>'Day 5'!X58</f>
        <v>0</v>
      </c>
      <c r="O14" s="5" t="str">
        <f>'Day 5'!X59</f>
        <v/>
      </c>
      <c r="P14" s="5" t="str">
        <f ca="1">'Day 5'!X60</f>
        <v/>
      </c>
      <c r="Q14" s="5" t="str">
        <f>'Day 5'!X64</f>
        <v/>
      </c>
    </row>
    <row r="15" spans="1:17" x14ac:dyDescent="0.25">
      <c r="A15" s="8" t="s">
        <v>149</v>
      </c>
      <c r="B15" s="5">
        <f>'Day 6'!C58</f>
        <v>0</v>
      </c>
      <c r="C15" s="5" t="str">
        <f>'Day 6'!C59</f>
        <v/>
      </c>
      <c r="D15" s="5" t="str">
        <f ca="1">'Day 6'!C60</f>
        <v/>
      </c>
      <c r="E15" s="5" t="str">
        <f>'Day 6'!C64</f>
        <v/>
      </c>
      <c r="F15" s="5">
        <f>'Day 6'!J58</f>
        <v>0</v>
      </c>
      <c r="G15" s="5" t="str">
        <f>'Day 6'!J59</f>
        <v/>
      </c>
      <c r="H15" s="5" t="str">
        <f ca="1">'Day 6'!J60</f>
        <v/>
      </c>
      <c r="I15" s="5" t="str">
        <f>'Day 6'!J64</f>
        <v/>
      </c>
      <c r="J15" s="5">
        <f>'Day 6'!Q19</f>
        <v>0</v>
      </c>
      <c r="K15" s="5" t="str">
        <f>'Day 6'!Q20</f>
        <v/>
      </c>
      <c r="L15" s="5" t="str">
        <f ca="1">'Day 6'!Q21</f>
        <v/>
      </c>
      <c r="M15" s="5" t="str">
        <f>'Day 6'!Q25</f>
        <v/>
      </c>
      <c r="N15" s="5">
        <f>'Day 6'!X58</f>
        <v>0</v>
      </c>
      <c r="O15" s="5" t="str">
        <f>'Day 6'!X59</f>
        <v/>
      </c>
      <c r="P15" s="5" t="str">
        <f ca="1">'Day 6'!X60</f>
        <v/>
      </c>
      <c r="Q15" s="5" t="str">
        <f>'Day 6'!X64</f>
        <v/>
      </c>
    </row>
    <row r="17" spans="1:17" x14ac:dyDescent="0.25">
      <c r="A17" s="8" t="s">
        <v>150</v>
      </c>
      <c r="B17" s="5">
        <f>SUM(B10:B15)</f>
        <v>200</v>
      </c>
      <c r="C17" s="5">
        <f>IFERROR(AVERAGEIF(C10:C15,"&gt;0"),"")</f>
        <v>6.9655000000000014</v>
      </c>
      <c r="D17" s="5" t="str">
        <f ca="1">IFERROR(AVERAGEIF(D10:D15,"&gt;0"),"")</f>
        <v/>
      </c>
      <c r="E17" s="5">
        <f>IFERROR(AVERAGEIF(E10:E15,"&gt;0"),"")</f>
        <v>51.591000000000022</v>
      </c>
      <c r="F17" s="5">
        <f>SUM(F10:F15)</f>
        <v>200</v>
      </c>
      <c r="G17" s="5">
        <f>IFERROR(AVERAGEIF(G10:G15,"&gt;0"),"")</f>
        <v>7.4465000000000003</v>
      </c>
      <c r="H17" s="5" t="str">
        <f ca="1">IFERROR(AVERAGEIF(H10:H15,"&gt;0"),"")</f>
        <v/>
      </c>
      <c r="I17" s="5">
        <f>IFERROR(AVERAGEIF(I10:I15,"&gt;0"),"")</f>
        <v>55.15000000000002</v>
      </c>
      <c r="J17" s="5">
        <f>SUM(J10:J15)</f>
        <v>44</v>
      </c>
      <c r="K17" s="5">
        <f>IFERROR(AVERAGEIF(K10:K15,"&gt;0"),"")</f>
        <v>7.9659090909090908</v>
      </c>
      <c r="L17" s="5" t="str">
        <f ca="1">IFERROR(AVERAGEIF(L10:L15,"&gt;0"),"")</f>
        <v/>
      </c>
      <c r="M17" s="5">
        <f>IFERROR(AVERAGEIF(M10:M15,"&gt;0"),"")</f>
        <v>59.00681818181819</v>
      </c>
      <c r="N17" s="5">
        <f>SUM(N10:N15)</f>
        <v>0</v>
      </c>
      <c r="O17" s="5" t="str">
        <f>IFERROR(AVERAGEIF(O10:O15,"&gt;0"),"")</f>
        <v/>
      </c>
      <c r="P17" s="5" t="str">
        <f ca="1">IFERROR(AVERAGEIF(P10:P15,"&gt;0"),"")</f>
        <v/>
      </c>
      <c r="Q17" s="5" t="str">
        <f>IFERROR(AVERAGEIF(Q10:Q15,"&gt;0"),"")</f>
        <v/>
      </c>
    </row>
    <row r="19" spans="1:17" x14ac:dyDescent="0.25">
      <c r="A19" s="4" t="s">
        <v>151</v>
      </c>
    </row>
    <row r="20" spans="1:17" x14ac:dyDescent="0.25">
      <c r="A20" t="s">
        <v>152</v>
      </c>
      <c r="B20" t="s">
        <v>153</v>
      </c>
      <c r="D20" s="6" t="s">
        <v>154</v>
      </c>
    </row>
    <row r="21" spans="1:17" x14ac:dyDescent="0.25">
      <c r="A21" t="s">
        <v>155</v>
      </c>
      <c r="B21" t="s">
        <v>156</v>
      </c>
      <c r="D21" s="6" t="s">
        <v>157</v>
      </c>
    </row>
    <row r="22" spans="1:17" x14ac:dyDescent="0.25">
      <c r="A22" t="s">
        <v>158</v>
      </c>
      <c r="B22" t="s">
        <v>159</v>
      </c>
      <c r="D22" s="6" t="s">
        <v>160</v>
      </c>
    </row>
    <row r="23" spans="1:17" x14ac:dyDescent="0.25">
      <c r="A23" t="s">
        <v>161</v>
      </c>
      <c r="B23" t="s">
        <v>162</v>
      </c>
      <c r="D23" s="6" t="s">
        <v>163</v>
      </c>
    </row>
    <row r="24" spans="1:17" x14ac:dyDescent="0.25">
      <c r="A24" t="s">
        <v>164</v>
      </c>
      <c r="B24" t="s">
        <v>165</v>
      </c>
      <c r="D24" s="6" t="s">
        <v>166</v>
      </c>
    </row>
    <row r="26" spans="1:17" x14ac:dyDescent="0.25">
      <c r="A26" s="4" t="s">
        <v>167</v>
      </c>
    </row>
    <row r="27" spans="1:17" x14ac:dyDescent="0.25">
      <c r="A27" s="6" t="s">
        <v>168</v>
      </c>
    </row>
    <row r="28" spans="1:17" x14ac:dyDescent="0.25">
      <c r="A28" s="6" t="s">
        <v>169</v>
      </c>
    </row>
    <row r="29" spans="1:17" x14ac:dyDescent="0.25">
      <c r="A29" s="6" t="s">
        <v>170</v>
      </c>
    </row>
    <row r="30" spans="1:17" x14ac:dyDescent="0.25">
      <c r="A30" s="6" t="s">
        <v>171</v>
      </c>
    </row>
    <row r="32" spans="1:17" x14ac:dyDescent="0.25">
      <c r="A32" s="6" t="s">
        <v>172</v>
      </c>
    </row>
    <row r="33" spans="1:1" x14ac:dyDescent="0.25">
      <c r="A33" s="6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03"/>
  <sheetViews>
    <sheetView topLeftCell="A319" workbookViewId="0"/>
  </sheetViews>
  <sheetFormatPr defaultRowHeight="15" x14ac:dyDescent="0.25"/>
  <cols>
    <col min="1" max="1" width="12" customWidth="1"/>
    <col min="2" max="2" width="18" customWidth="1"/>
    <col min="3" max="3" width="4" customWidth="1"/>
    <col min="4" max="4" width="70" customWidth="1"/>
  </cols>
  <sheetData>
    <row r="1" spans="1:4" ht="18.75" x14ac:dyDescent="0.3">
      <c r="A1" s="1" t="s">
        <v>174</v>
      </c>
      <c r="D1" s="6" t="s">
        <v>175</v>
      </c>
    </row>
    <row r="2" spans="1:4" x14ac:dyDescent="0.25">
      <c r="A2" s="2" t="s">
        <v>176</v>
      </c>
      <c r="B2" s="2" t="s">
        <v>177</v>
      </c>
      <c r="D2" s="6" t="s">
        <v>178</v>
      </c>
    </row>
    <row r="3" spans="1:4" x14ac:dyDescent="0.25">
      <c r="A3">
        <v>0</v>
      </c>
      <c r="B3">
        <v>14.62</v>
      </c>
    </row>
    <row r="4" spans="1:4" x14ac:dyDescent="0.25">
      <c r="A4">
        <v>0.1</v>
      </c>
      <c r="B4">
        <v>14.58</v>
      </c>
    </row>
    <row r="5" spans="1:4" x14ac:dyDescent="0.25">
      <c r="A5">
        <v>0.2</v>
      </c>
      <c r="B5">
        <v>14.54</v>
      </c>
    </row>
    <row r="6" spans="1:4" x14ac:dyDescent="0.25">
      <c r="A6">
        <v>0.3</v>
      </c>
      <c r="B6">
        <v>14.5</v>
      </c>
    </row>
    <row r="7" spans="1:4" x14ac:dyDescent="0.25">
      <c r="A7">
        <v>0.4</v>
      </c>
      <c r="B7">
        <v>14.46</v>
      </c>
    </row>
    <row r="8" spans="1:4" x14ac:dyDescent="0.25">
      <c r="A8">
        <v>0.5</v>
      </c>
      <c r="B8">
        <v>14.42</v>
      </c>
    </row>
    <row r="9" spans="1:4" x14ac:dyDescent="0.25">
      <c r="A9">
        <v>0.6</v>
      </c>
      <c r="B9">
        <v>14.38</v>
      </c>
    </row>
    <row r="10" spans="1:4" x14ac:dyDescent="0.25">
      <c r="A10">
        <v>0.7</v>
      </c>
      <c r="B10">
        <v>14.34</v>
      </c>
    </row>
    <row r="11" spans="1:4" x14ac:dyDescent="0.25">
      <c r="A11">
        <v>0.8</v>
      </c>
      <c r="B11">
        <v>14.3</v>
      </c>
    </row>
    <row r="12" spans="1:4" x14ac:dyDescent="0.25">
      <c r="A12">
        <v>0.9</v>
      </c>
      <c r="B12">
        <v>14.26</v>
      </c>
    </row>
    <row r="13" spans="1:4" x14ac:dyDescent="0.25">
      <c r="A13">
        <v>1</v>
      </c>
      <c r="B13">
        <v>14.22</v>
      </c>
    </row>
    <row r="14" spans="1:4" x14ac:dyDescent="0.25">
      <c r="A14">
        <v>1.1000000000000001</v>
      </c>
      <c r="B14">
        <v>14.18</v>
      </c>
    </row>
    <row r="15" spans="1:4" x14ac:dyDescent="0.25">
      <c r="A15">
        <v>1.2</v>
      </c>
      <c r="B15">
        <v>14.14</v>
      </c>
    </row>
    <row r="16" spans="1:4" x14ac:dyDescent="0.25">
      <c r="A16">
        <v>1.3</v>
      </c>
      <c r="B16">
        <v>14.1</v>
      </c>
    </row>
    <row r="17" spans="1:2" x14ac:dyDescent="0.25">
      <c r="A17">
        <v>1.4</v>
      </c>
      <c r="B17">
        <v>14.06</v>
      </c>
    </row>
    <row r="18" spans="1:2" x14ac:dyDescent="0.25">
      <c r="A18">
        <v>1.5</v>
      </c>
      <c r="B18">
        <v>14.03</v>
      </c>
    </row>
    <row r="19" spans="1:2" x14ac:dyDescent="0.25">
      <c r="A19">
        <v>1.6</v>
      </c>
      <c r="B19">
        <v>13.99</v>
      </c>
    </row>
    <row r="20" spans="1:2" x14ac:dyDescent="0.25">
      <c r="A20">
        <v>1.7</v>
      </c>
      <c r="B20">
        <v>13.95</v>
      </c>
    </row>
    <row r="21" spans="1:2" x14ac:dyDescent="0.25">
      <c r="A21">
        <v>1.8</v>
      </c>
      <c r="B21">
        <v>13.91</v>
      </c>
    </row>
    <row r="22" spans="1:2" x14ac:dyDescent="0.25">
      <c r="A22">
        <v>1.9</v>
      </c>
      <c r="B22">
        <v>13.87</v>
      </c>
    </row>
    <row r="23" spans="1:2" x14ac:dyDescent="0.25">
      <c r="A23">
        <v>2</v>
      </c>
      <c r="B23">
        <v>13.83</v>
      </c>
    </row>
    <row r="24" spans="1:2" x14ac:dyDescent="0.25">
      <c r="A24">
        <v>2.1</v>
      </c>
      <c r="B24">
        <v>13.79</v>
      </c>
    </row>
    <row r="25" spans="1:2" x14ac:dyDescent="0.25">
      <c r="A25">
        <v>2.2000000000000002</v>
      </c>
      <c r="B25">
        <v>13.76</v>
      </c>
    </row>
    <row r="26" spans="1:2" x14ac:dyDescent="0.25">
      <c r="A26">
        <v>2.2999999999999998</v>
      </c>
      <c r="B26">
        <v>13.72</v>
      </c>
    </row>
    <row r="27" spans="1:2" x14ac:dyDescent="0.25">
      <c r="A27">
        <v>2.4</v>
      </c>
      <c r="B27">
        <v>13.68</v>
      </c>
    </row>
    <row r="28" spans="1:2" x14ac:dyDescent="0.25">
      <c r="A28">
        <v>2.5</v>
      </c>
      <c r="B28">
        <v>13.64</v>
      </c>
    </row>
    <row r="29" spans="1:2" x14ac:dyDescent="0.25">
      <c r="A29">
        <v>2.6</v>
      </c>
      <c r="B29">
        <v>13.61</v>
      </c>
    </row>
    <row r="30" spans="1:2" x14ac:dyDescent="0.25">
      <c r="A30">
        <v>2.7</v>
      </c>
      <c r="B30">
        <v>13.57</v>
      </c>
    </row>
    <row r="31" spans="1:2" x14ac:dyDescent="0.25">
      <c r="A31">
        <v>2.8</v>
      </c>
      <c r="B31">
        <v>13.53</v>
      </c>
    </row>
    <row r="32" spans="1:2" x14ac:dyDescent="0.25">
      <c r="A32">
        <v>2.9</v>
      </c>
      <c r="B32">
        <v>13.5</v>
      </c>
    </row>
    <row r="33" spans="1:2" x14ac:dyDescent="0.25">
      <c r="A33">
        <v>3</v>
      </c>
      <c r="B33">
        <v>13.46</v>
      </c>
    </row>
    <row r="34" spans="1:2" x14ac:dyDescent="0.25">
      <c r="A34">
        <v>3.1</v>
      </c>
      <c r="B34">
        <v>13.43</v>
      </c>
    </row>
    <row r="35" spans="1:2" x14ac:dyDescent="0.25">
      <c r="A35">
        <v>3.2</v>
      </c>
      <c r="B35">
        <v>13.39</v>
      </c>
    </row>
    <row r="36" spans="1:2" x14ac:dyDescent="0.25">
      <c r="A36">
        <v>3.3</v>
      </c>
      <c r="B36">
        <v>13.36</v>
      </c>
    </row>
    <row r="37" spans="1:2" x14ac:dyDescent="0.25">
      <c r="A37">
        <v>3.4</v>
      </c>
      <c r="B37">
        <v>13.32</v>
      </c>
    </row>
    <row r="38" spans="1:2" x14ac:dyDescent="0.25">
      <c r="A38">
        <v>3.5</v>
      </c>
      <c r="B38">
        <v>13.29</v>
      </c>
    </row>
    <row r="39" spans="1:2" x14ac:dyDescent="0.25">
      <c r="A39">
        <v>3.6</v>
      </c>
      <c r="B39">
        <v>13.25</v>
      </c>
    </row>
    <row r="40" spans="1:2" x14ac:dyDescent="0.25">
      <c r="A40">
        <v>3.7</v>
      </c>
      <c r="B40">
        <v>13.21</v>
      </c>
    </row>
    <row r="41" spans="1:2" x14ac:dyDescent="0.25">
      <c r="A41">
        <v>3.8</v>
      </c>
      <c r="B41">
        <v>13.18</v>
      </c>
    </row>
    <row r="42" spans="1:2" x14ac:dyDescent="0.25">
      <c r="A42">
        <v>3.9</v>
      </c>
      <c r="B42">
        <v>13.14</v>
      </c>
    </row>
    <row r="43" spans="1:2" x14ac:dyDescent="0.25">
      <c r="A43">
        <v>4</v>
      </c>
      <c r="B43">
        <v>13.11</v>
      </c>
    </row>
    <row r="44" spans="1:2" x14ac:dyDescent="0.25">
      <c r="A44">
        <v>4.0999999999999996</v>
      </c>
      <c r="B44">
        <v>13.08</v>
      </c>
    </row>
    <row r="45" spans="1:2" x14ac:dyDescent="0.25">
      <c r="A45">
        <v>4.2</v>
      </c>
      <c r="B45">
        <v>13.04</v>
      </c>
    </row>
    <row r="46" spans="1:2" x14ac:dyDescent="0.25">
      <c r="A46">
        <v>4.3</v>
      </c>
      <c r="B46">
        <v>13.01</v>
      </c>
    </row>
    <row r="47" spans="1:2" x14ac:dyDescent="0.25">
      <c r="A47">
        <v>4.4000000000000004</v>
      </c>
      <c r="B47">
        <v>12.97</v>
      </c>
    </row>
    <row r="48" spans="1:2" x14ac:dyDescent="0.25">
      <c r="A48">
        <v>4.5</v>
      </c>
      <c r="B48">
        <v>12.94</v>
      </c>
    </row>
    <row r="49" spans="1:2" x14ac:dyDescent="0.25">
      <c r="A49">
        <v>4.5999999999999996</v>
      </c>
      <c r="B49">
        <v>12.91</v>
      </c>
    </row>
    <row r="50" spans="1:2" x14ac:dyDescent="0.25">
      <c r="A50">
        <v>4.7</v>
      </c>
      <c r="B50">
        <v>12.87</v>
      </c>
    </row>
    <row r="51" spans="1:2" x14ac:dyDescent="0.25">
      <c r="A51">
        <v>4.8</v>
      </c>
      <c r="B51">
        <v>12.84</v>
      </c>
    </row>
    <row r="52" spans="1:2" x14ac:dyDescent="0.25">
      <c r="A52">
        <v>4.9000000000000004</v>
      </c>
      <c r="B52">
        <v>12.8</v>
      </c>
    </row>
    <row r="53" spans="1:2" x14ac:dyDescent="0.25">
      <c r="A53">
        <v>5</v>
      </c>
      <c r="B53">
        <v>12.77</v>
      </c>
    </row>
    <row r="54" spans="1:2" x14ac:dyDescent="0.25">
      <c r="A54">
        <v>5.0999999999999996</v>
      </c>
      <c r="B54">
        <v>12.74</v>
      </c>
    </row>
    <row r="55" spans="1:2" x14ac:dyDescent="0.25">
      <c r="A55">
        <v>5.2</v>
      </c>
      <c r="B55">
        <v>12.71</v>
      </c>
    </row>
    <row r="56" spans="1:2" x14ac:dyDescent="0.25">
      <c r="A56">
        <v>5.3</v>
      </c>
      <c r="B56">
        <v>12.67</v>
      </c>
    </row>
    <row r="57" spans="1:2" x14ac:dyDescent="0.25">
      <c r="A57">
        <v>5.4</v>
      </c>
      <c r="B57">
        <v>12.64</v>
      </c>
    </row>
    <row r="58" spans="1:2" x14ac:dyDescent="0.25">
      <c r="A58">
        <v>5.5</v>
      </c>
      <c r="B58">
        <v>12.61</v>
      </c>
    </row>
    <row r="59" spans="1:2" x14ac:dyDescent="0.25">
      <c r="A59">
        <v>5.6</v>
      </c>
      <c r="B59">
        <v>12.58</v>
      </c>
    </row>
    <row r="60" spans="1:2" x14ac:dyDescent="0.25">
      <c r="A60">
        <v>5.7</v>
      </c>
      <c r="B60">
        <v>12.55</v>
      </c>
    </row>
    <row r="61" spans="1:2" x14ac:dyDescent="0.25">
      <c r="A61">
        <v>5.8</v>
      </c>
      <c r="B61">
        <v>12.51</v>
      </c>
    </row>
    <row r="62" spans="1:2" x14ac:dyDescent="0.25">
      <c r="A62">
        <v>5.9</v>
      </c>
      <c r="B62">
        <v>12.48</v>
      </c>
    </row>
    <row r="63" spans="1:2" x14ac:dyDescent="0.25">
      <c r="A63">
        <v>6</v>
      </c>
      <c r="B63">
        <v>12.45</v>
      </c>
    </row>
    <row r="64" spans="1:2" x14ac:dyDescent="0.25">
      <c r="A64">
        <v>6.1</v>
      </c>
      <c r="B64">
        <v>12.42</v>
      </c>
    </row>
    <row r="65" spans="1:2" x14ac:dyDescent="0.25">
      <c r="A65">
        <v>6.2</v>
      </c>
      <c r="B65">
        <v>12.39</v>
      </c>
    </row>
    <row r="66" spans="1:2" x14ac:dyDescent="0.25">
      <c r="A66">
        <v>6.3</v>
      </c>
      <c r="B66">
        <v>12.36</v>
      </c>
    </row>
    <row r="67" spans="1:2" x14ac:dyDescent="0.25">
      <c r="A67">
        <v>6.4</v>
      </c>
      <c r="B67">
        <v>12.33</v>
      </c>
    </row>
    <row r="68" spans="1:2" x14ac:dyDescent="0.25">
      <c r="A68">
        <v>6.5</v>
      </c>
      <c r="B68">
        <v>12.29</v>
      </c>
    </row>
    <row r="69" spans="1:2" x14ac:dyDescent="0.25">
      <c r="A69">
        <v>6.6</v>
      </c>
      <c r="B69">
        <v>12.26</v>
      </c>
    </row>
    <row r="70" spans="1:2" x14ac:dyDescent="0.25">
      <c r="A70">
        <v>6.7</v>
      </c>
      <c r="B70">
        <v>12.23</v>
      </c>
    </row>
    <row r="71" spans="1:2" x14ac:dyDescent="0.25">
      <c r="A71">
        <v>6.8</v>
      </c>
      <c r="B71">
        <v>12.2</v>
      </c>
    </row>
    <row r="72" spans="1:2" x14ac:dyDescent="0.25">
      <c r="A72">
        <v>6.9</v>
      </c>
      <c r="B72">
        <v>12.17</v>
      </c>
    </row>
    <row r="73" spans="1:2" x14ac:dyDescent="0.25">
      <c r="A73">
        <v>7</v>
      </c>
      <c r="B73">
        <v>12.14</v>
      </c>
    </row>
    <row r="74" spans="1:2" x14ac:dyDescent="0.25">
      <c r="A74">
        <v>7.1</v>
      </c>
      <c r="B74">
        <v>12.11</v>
      </c>
    </row>
    <row r="75" spans="1:2" x14ac:dyDescent="0.25">
      <c r="A75">
        <v>7.2</v>
      </c>
      <c r="B75">
        <v>12.08</v>
      </c>
    </row>
    <row r="76" spans="1:2" x14ac:dyDescent="0.25">
      <c r="A76">
        <v>7.3</v>
      </c>
      <c r="B76">
        <v>12.05</v>
      </c>
    </row>
    <row r="77" spans="1:2" x14ac:dyDescent="0.25">
      <c r="A77">
        <v>7.4</v>
      </c>
      <c r="B77">
        <v>12.02</v>
      </c>
    </row>
    <row r="78" spans="1:2" x14ac:dyDescent="0.25">
      <c r="A78">
        <v>7.5</v>
      </c>
      <c r="B78">
        <v>11.99</v>
      </c>
    </row>
    <row r="79" spans="1:2" x14ac:dyDescent="0.25">
      <c r="A79">
        <v>7.6</v>
      </c>
      <c r="B79">
        <v>11.96</v>
      </c>
    </row>
    <row r="80" spans="1:2" x14ac:dyDescent="0.25">
      <c r="A80">
        <v>7.7</v>
      </c>
      <c r="B80">
        <v>11.93</v>
      </c>
    </row>
    <row r="81" spans="1:2" x14ac:dyDescent="0.25">
      <c r="A81">
        <v>7.8</v>
      </c>
      <c r="B81">
        <v>11.9</v>
      </c>
    </row>
    <row r="82" spans="1:2" x14ac:dyDescent="0.25">
      <c r="A82">
        <v>7.9</v>
      </c>
      <c r="B82">
        <v>11.87</v>
      </c>
    </row>
    <row r="83" spans="1:2" x14ac:dyDescent="0.25">
      <c r="A83">
        <v>8</v>
      </c>
      <c r="B83">
        <v>11.84</v>
      </c>
    </row>
    <row r="84" spans="1:2" x14ac:dyDescent="0.25">
      <c r="A84">
        <v>8.1</v>
      </c>
      <c r="B84">
        <v>11.81</v>
      </c>
    </row>
    <row r="85" spans="1:2" x14ac:dyDescent="0.25">
      <c r="A85">
        <v>8.1999999999999993</v>
      </c>
      <c r="B85">
        <v>11.78</v>
      </c>
    </row>
    <row r="86" spans="1:2" x14ac:dyDescent="0.25">
      <c r="A86">
        <v>8.3000000000000007</v>
      </c>
      <c r="B86">
        <v>11.76</v>
      </c>
    </row>
    <row r="87" spans="1:2" x14ac:dyDescent="0.25">
      <c r="A87">
        <v>8.4</v>
      </c>
      <c r="B87">
        <v>11.73</v>
      </c>
    </row>
    <row r="88" spans="1:2" x14ac:dyDescent="0.25">
      <c r="A88">
        <v>8.5</v>
      </c>
      <c r="B88">
        <v>11.7</v>
      </c>
    </row>
    <row r="89" spans="1:2" x14ac:dyDescent="0.25">
      <c r="A89">
        <v>8.6</v>
      </c>
      <c r="B89">
        <v>11.67</v>
      </c>
    </row>
    <row r="90" spans="1:2" x14ac:dyDescent="0.25">
      <c r="A90">
        <v>8.6999999999999993</v>
      </c>
      <c r="B90">
        <v>11.64</v>
      </c>
    </row>
    <row r="91" spans="1:2" x14ac:dyDescent="0.25">
      <c r="A91">
        <v>8.8000000000000007</v>
      </c>
      <c r="B91">
        <v>11.62</v>
      </c>
    </row>
    <row r="92" spans="1:2" x14ac:dyDescent="0.25">
      <c r="A92">
        <v>8.9</v>
      </c>
      <c r="B92">
        <v>11.59</v>
      </c>
    </row>
    <row r="93" spans="1:2" x14ac:dyDescent="0.25">
      <c r="A93">
        <v>9</v>
      </c>
      <c r="B93">
        <v>11.56</v>
      </c>
    </row>
    <row r="94" spans="1:2" x14ac:dyDescent="0.25">
      <c r="A94">
        <v>9.1</v>
      </c>
      <c r="B94">
        <v>11.53</v>
      </c>
    </row>
    <row r="95" spans="1:2" x14ac:dyDescent="0.25">
      <c r="A95">
        <v>9.1999999999999993</v>
      </c>
      <c r="B95">
        <v>11.51</v>
      </c>
    </row>
    <row r="96" spans="1:2" x14ac:dyDescent="0.25">
      <c r="A96">
        <v>9.3000000000000007</v>
      </c>
      <c r="B96">
        <v>11.48</v>
      </c>
    </row>
    <row r="97" spans="1:2" x14ac:dyDescent="0.25">
      <c r="A97">
        <v>9.4</v>
      </c>
      <c r="B97">
        <v>11.45</v>
      </c>
    </row>
    <row r="98" spans="1:2" x14ac:dyDescent="0.25">
      <c r="A98">
        <v>9.5</v>
      </c>
      <c r="B98">
        <v>11.43</v>
      </c>
    </row>
    <row r="99" spans="1:2" x14ac:dyDescent="0.25">
      <c r="A99">
        <v>9.6</v>
      </c>
      <c r="B99">
        <v>11.4</v>
      </c>
    </row>
    <row r="100" spans="1:2" x14ac:dyDescent="0.25">
      <c r="A100">
        <v>9.6999999999999993</v>
      </c>
      <c r="B100">
        <v>11.37</v>
      </c>
    </row>
    <row r="101" spans="1:2" x14ac:dyDescent="0.25">
      <c r="A101">
        <v>9.8000000000000007</v>
      </c>
      <c r="B101">
        <v>11.34</v>
      </c>
    </row>
    <row r="102" spans="1:2" x14ac:dyDescent="0.25">
      <c r="A102">
        <v>9.9</v>
      </c>
      <c r="B102">
        <v>11.32</v>
      </c>
    </row>
    <row r="103" spans="1:2" x14ac:dyDescent="0.25">
      <c r="A103">
        <v>10</v>
      </c>
      <c r="B103">
        <v>11.29</v>
      </c>
    </row>
    <row r="104" spans="1:2" x14ac:dyDescent="0.25">
      <c r="A104">
        <v>10.1</v>
      </c>
      <c r="B104">
        <v>11.26</v>
      </c>
    </row>
    <row r="105" spans="1:2" x14ac:dyDescent="0.25">
      <c r="A105">
        <v>10.199999999999999</v>
      </c>
      <c r="B105">
        <v>11.24</v>
      </c>
    </row>
    <row r="106" spans="1:2" x14ac:dyDescent="0.25">
      <c r="A106">
        <v>10.3</v>
      </c>
      <c r="B106">
        <v>11.21</v>
      </c>
    </row>
    <row r="107" spans="1:2" x14ac:dyDescent="0.25">
      <c r="A107">
        <v>10.4</v>
      </c>
      <c r="B107">
        <v>11.19</v>
      </c>
    </row>
    <row r="108" spans="1:2" x14ac:dyDescent="0.25">
      <c r="A108">
        <v>10.5</v>
      </c>
      <c r="B108">
        <v>11.16</v>
      </c>
    </row>
    <row r="109" spans="1:2" x14ac:dyDescent="0.25">
      <c r="A109">
        <v>10.6</v>
      </c>
      <c r="B109">
        <v>11.13</v>
      </c>
    </row>
    <row r="110" spans="1:2" x14ac:dyDescent="0.25">
      <c r="A110">
        <v>10.7</v>
      </c>
      <c r="B110">
        <v>11.11</v>
      </c>
    </row>
    <row r="111" spans="1:2" x14ac:dyDescent="0.25">
      <c r="A111">
        <v>10.8</v>
      </c>
      <c r="B111">
        <v>11.08</v>
      </c>
    </row>
    <row r="112" spans="1:2" x14ac:dyDescent="0.25">
      <c r="A112">
        <v>10.9</v>
      </c>
      <c r="B112">
        <v>11.06</v>
      </c>
    </row>
    <row r="113" spans="1:2" x14ac:dyDescent="0.25">
      <c r="A113">
        <v>11</v>
      </c>
      <c r="B113">
        <v>11.03</v>
      </c>
    </row>
    <row r="114" spans="1:2" x14ac:dyDescent="0.25">
      <c r="A114">
        <v>11.1</v>
      </c>
      <c r="B114">
        <v>11</v>
      </c>
    </row>
    <row r="115" spans="1:2" x14ac:dyDescent="0.25">
      <c r="A115">
        <v>11.2</v>
      </c>
      <c r="B115">
        <v>10.98</v>
      </c>
    </row>
    <row r="116" spans="1:2" x14ac:dyDescent="0.25">
      <c r="A116">
        <v>11.3</v>
      </c>
      <c r="B116">
        <v>10.95</v>
      </c>
    </row>
    <row r="117" spans="1:2" x14ac:dyDescent="0.25">
      <c r="A117">
        <v>11.4</v>
      </c>
      <c r="B117">
        <v>10.93</v>
      </c>
    </row>
    <row r="118" spans="1:2" x14ac:dyDescent="0.25">
      <c r="A118">
        <v>11.5</v>
      </c>
      <c r="B118">
        <v>10.9</v>
      </c>
    </row>
    <row r="119" spans="1:2" x14ac:dyDescent="0.25">
      <c r="A119">
        <v>11.6</v>
      </c>
      <c r="B119">
        <v>10.88</v>
      </c>
    </row>
    <row r="120" spans="1:2" x14ac:dyDescent="0.25">
      <c r="A120">
        <v>11.7</v>
      </c>
      <c r="B120">
        <v>10.86</v>
      </c>
    </row>
    <row r="121" spans="1:2" x14ac:dyDescent="0.25">
      <c r="A121">
        <v>11.8</v>
      </c>
      <c r="B121">
        <v>10.83</v>
      </c>
    </row>
    <row r="122" spans="1:2" x14ac:dyDescent="0.25">
      <c r="A122">
        <v>11.9</v>
      </c>
      <c r="B122">
        <v>10.8</v>
      </c>
    </row>
    <row r="123" spans="1:2" x14ac:dyDescent="0.25">
      <c r="A123">
        <v>12</v>
      </c>
      <c r="B123">
        <v>10.78</v>
      </c>
    </row>
    <row r="124" spans="1:2" x14ac:dyDescent="0.25">
      <c r="A124">
        <v>12.1</v>
      </c>
      <c r="B124">
        <v>10.76</v>
      </c>
    </row>
    <row r="125" spans="1:2" x14ac:dyDescent="0.25">
      <c r="A125">
        <v>12.2</v>
      </c>
      <c r="B125">
        <v>10.73</v>
      </c>
    </row>
    <row r="126" spans="1:2" x14ac:dyDescent="0.25">
      <c r="A126">
        <v>12.3</v>
      </c>
      <c r="B126">
        <v>10.71</v>
      </c>
    </row>
    <row r="127" spans="1:2" x14ac:dyDescent="0.25">
      <c r="A127">
        <v>12.4</v>
      </c>
      <c r="B127">
        <v>10.68</v>
      </c>
    </row>
    <row r="128" spans="1:2" x14ac:dyDescent="0.25">
      <c r="A128">
        <v>12.5</v>
      </c>
      <c r="B128">
        <v>10.66</v>
      </c>
    </row>
    <row r="129" spans="1:2" x14ac:dyDescent="0.25">
      <c r="A129">
        <v>12.6</v>
      </c>
      <c r="B129">
        <v>10.64</v>
      </c>
    </row>
    <row r="130" spans="1:2" x14ac:dyDescent="0.25">
      <c r="A130">
        <v>12.7</v>
      </c>
      <c r="B130">
        <v>10.61</v>
      </c>
    </row>
    <row r="131" spans="1:2" x14ac:dyDescent="0.25">
      <c r="A131">
        <v>12.8</v>
      </c>
      <c r="B131">
        <v>10.59</v>
      </c>
    </row>
    <row r="132" spans="1:2" x14ac:dyDescent="0.25">
      <c r="A132">
        <v>12.9</v>
      </c>
      <c r="B132">
        <v>10.56</v>
      </c>
    </row>
    <row r="133" spans="1:2" x14ac:dyDescent="0.25">
      <c r="A133">
        <v>13</v>
      </c>
      <c r="B133">
        <v>10.54</v>
      </c>
    </row>
    <row r="134" spans="1:2" x14ac:dyDescent="0.25">
      <c r="A134">
        <v>13.1</v>
      </c>
      <c r="B134">
        <v>10.52</v>
      </c>
    </row>
    <row r="135" spans="1:2" x14ac:dyDescent="0.25">
      <c r="A135">
        <v>13.2</v>
      </c>
      <c r="B135">
        <v>10.49</v>
      </c>
    </row>
    <row r="136" spans="1:2" x14ac:dyDescent="0.25">
      <c r="A136">
        <v>13.3</v>
      </c>
      <c r="B136">
        <v>10.47</v>
      </c>
    </row>
    <row r="137" spans="1:2" x14ac:dyDescent="0.25">
      <c r="A137">
        <v>13.4</v>
      </c>
      <c r="B137">
        <v>10.45</v>
      </c>
    </row>
    <row r="138" spans="1:2" x14ac:dyDescent="0.25">
      <c r="A138">
        <v>13.5</v>
      </c>
      <c r="B138">
        <v>10.43</v>
      </c>
    </row>
    <row r="139" spans="1:2" x14ac:dyDescent="0.25">
      <c r="A139">
        <v>13.6</v>
      </c>
      <c r="B139">
        <v>10.4</v>
      </c>
    </row>
    <row r="140" spans="1:2" x14ac:dyDescent="0.25">
      <c r="A140">
        <v>13.7</v>
      </c>
      <c r="B140">
        <v>10.38</v>
      </c>
    </row>
    <row r="141" spans="1:2" x14ac:dyDescent="0.25">
      <c r="A141">
        <v>13.8</v>
      </c>
      <c r="B141">
        <v>10.36</v>
      </c>
    </row>
    <row r="142" spans="1:2" x14ac:dyDescent="0.25">
      <c r="A142">
        <v>13.9</v>
      </c>
      <c r="B142">
        <v>10.33</v>
      </c>
    </row>
    <row r="143" spans="1:2" x14ac:dyDescent="0.25">
      <c r="A143">
        <v>14</v>
      </c>
      <c r="B143">
        <v>10.31</v>
      </c>
    </row>
    <row r="144" spans="1:2" x14ac:dyDescent="0.25">
      <c r="A144">
        <v>14.1</v>
      </c>
      <c r="B144">
        <v>10.29</v>
      </c>
    </row>
    <row r="145" spans="1:2" x14ac:dyDescent="0.25">
      <c r="A145">
        <v>14.2</v>
      </c>
      <c r="B145">
        <v>10.26</v>
      </c>
    </row>
    <row r="146" spans="1:2" x14ac:dyDescent="0.25">
      <c r="A146">
        <v>14.3</v>
      </c>
      <c r="B146">
        <v>10.24</v>
      </c>
    </row>
    <row r="147" spans="1:2" x14ac:dyDescent="0.25">
      <c r="A147">
        <v>14.4</v>
      </c>
      <c r="B147">
        <v>10.220000000000001</v>
      </c>
    </row>
    <row r="148" spans="1:2" x14ac:dyDescent="0.25">
      <c r="A148">
        <v>14.5</v>
      </c>
      <c r="B148">
        <v>10.199999999999999</v>
      </c>
    </row>
    <row r="149" spans="1:2" x14ac:dyDescent="0.25">
      <c r="A149">
        <v>14.6</v>
      </c>
      <c r="B149">
        <v>10.17</v>
      </c>
    </row>
    <row r="150" spans="1:2" x14ac:dyDescent="0.25">
      <c r="A150">
        <v>14.7</v>
      </c>
      <c r="B150">
        <v>10.15</v>
      </c>
    </row>
    <row r="151" spans="1:2" x14ac:dyDescent="0.25">
      <c r="A151">
        <v>14.8</v>
      </c>
      <c r="B151">
        <v>10.130000000000001</v>
      </c>
    </row>
    <row r="152" spans="1:2" x14ac:dyDescent="0.25">
      <c r="A152">
        <v>14.9</v>
      </c>
      <c r="B152">
        <v>10.1</v>
      </c>
    </row>
    <row r="153" spans="1:2" x14ac:dyDescent="0.25">
      <c r="A153">
        <v>15</v>
      </c>
      <c r="B153">
        <v>10.08</v>
      </c>
    </row>
    <row r="154" spans="1:2" x14ac:dyDescent="0.25">
      <c r="A154">
        <v>15.1</v>
      </c>
      <c r="B154">
        <v>10.06</v>
      </c>
    </row>
    <row r="155" spans="1:2" x14ac:dyDescent="0.25">
      <c r="A155">
        <v>15.2</v>
      </c>
      <c r="B155">
        <v>10.039999999999999</v>
      </c>
    </row>
    <row r="156" spans="1:2" x14ac:dyDescent="0.25">
      <c r="A156">
        <v>15.3</v>
      </c>
      <c r="B156">
        <v>10.02</v>
      </c>
    </row>
    <row r="157" spans="1:2" x14ac:dyDescent="0.25">
      <c r="A157">
        <v>15.4</v>
      </c>
      <c r="B157">
        <v>10</v>
      </c>
    </row>
    <row r="158" spans="1:2" x14ac:dyDescent="0.25">
      <c r="A158">
        <v>15.5</v>
      </c>
      <c r="B158">
        <v>9.9700000000000006</v>
      </c>
    </row>
    <row r="159" spans="1:2" x14ac:dyDescent="0.25">
      <c r="A159">
        <v>15.6</v>
      </c>
      <c r="B159">
        <v>9.9499999999999993</v>
      </c>
    </row>
    <row r="160" spans="1:2" x14ac:dyDescent="0.25">
      <c r="A160">
        <v>15.7</v>
      </c>
      <c r="B160">
        <v>9.93</v>
      </c>
    </row>
    <row r="161" spans="1:2" x14ac:dyDescent="0.25">
      <c r="A161">
        <v>15.8</v>
      </c>
      <c r="B161">
        <v>9.91</v>
      </c>
    </row>
    <row r="162" spans="1:2" x14ac:dyDescent="0.25">
      <c r="A162">
        <v>15.9</v>
      </c>
      <c r="B162">
        <v>9.89</v>
      </c>
    </row>
    <row r="163" spans="1:2" x14ac:dyDescent="0.25">
      <c r="A163">
        <v>16</v>
      </c>
      <c r="B163">
        <v>9.8699999999999992</v>
      </c>
    </row>
    <row r="164" spans="1:2" x14ac:dyDescent="0.25">
      <c r="A164">
        <v>16.100000000000001</v>
      </c>
      <c r="B164">
        <v>9.85</v>
      </c>
    </row>
    <row r="165" spans="1:2" x14ac:dyDescent="0.25">
      <c r="A165">
        <v>16.2</v>
      </c>
      <c r="B165">
        <v>9.83</v>
      </c>
    </row>
    <row r="166" spans="1:2" x14ac:dyDescent="0.25">
      <c r="A166">
        <v>16.3</v>
      </c>
      <c r="B166">
        <v>9.81</v>
      </c>
    </row>
    <row r="167" spans="1:2" x14ac:dyDescent="0.25">
      <c r="A167">
        <v>16.399999999999999</v>
      </c>
      <c r="B167">
        <v>9.7899999999999991</v>
      </c>
    </row>
    <row r="168" spans="1:2" x14ac:dyDescent="0.25">
      <c r="A168">
        <v>16.5</v>
      </c>
      <c r="B168">
        <v>9.77</v>
      </c>
    </row>
    <row r="169" spans="1:2" x14ac:dyDescent="0.25">
      <c r="A169">
        <v>16.600000000000001</v>
      </c>
      <c r="B169">
        <v>9.74</v>
      </c>
    </row>
    <row r="170" spans="1:2" x14ac:dyDescent="0.25">
      <c r="A170">
        <v>16.7</v>
      </c>
      <c r="B170">
        <v>9.7200000000000006</v>
      </c>
    </row>
    <row r="171" spans="1:2" x14ac:dyDescent="0.25">
      <c r="A171">
        <v>16.8</v>
      </c>
      <c r="B171">
        <v>9.6999999999999993</v>
      </c>
    </row>
    <row r="172" spans="1:2" x14ac:dyDescent="0.25">
      <c r="A172">
        <v>16.899999999999999</v>
      </c>
      <c r="B172">
        <v>9.68</v>
      </c>
    </row>
    <row r="173" spans="1:2" x14ac:dyDescent="0.25">
      <c r="A173">
        <v>17</v>
      </c>
      <c r="B173">
        <v>9.66</v>
      </c>
    </row>
    <row r="174" spans="1:2" x14ac:dyDescent="0.25">
      <c r="A174">
        <v>17.100000000000001</v>
      </c>
      <c r="B174">
        <v>9.64</v>
      </c>
    </row>
    <row r="175" spans="1:2" x14ac:dyDescent="0.25">
      <c r="A175">
        <v>17.2</v>
      </c>
      <c r="B175">
        <v>9.6199999999999992</v>
      </c>
    </row>
    <row r="176" spans="1:2" x14ac:dyDescent="0.25">
      <c r="A176">
        <v>17.3</v>
      </c>
      <c r="B176">
        <v>9.6</v>
      </c>
    </row>
    <row r="177" spans="1:2" x14ac:dyDescent="0.25">
      <c r="A177">
        <v>17.399999999999999</v>
      </c>
      <c r="B177">
        <v>9.58</v>
      </c>
    </row>
    <row r="178" spans="1:2" x14ac:dyDescent="0.25">
      <c r="A178">
        <v>17.5</v>
      </c>
      <c r="B178">
        <v>9.57</v>
      </c>
    </row>
    <row r="179" spans="1:2" x14ac:dyDescent="0.25">
      <c r="A179">
        <v>17.600000000000001</v>
      </c>
      <c r="B179">
        <v>9.5500000000000007</v>
      </c>
    </row>
    <row r="180" spans="1:2" x14ac:dyDescent="0.25">
      <c r="A180">
        <v>17.7</v>
      </c>
      <c r="B180">
        <v>9.5299999999999994</v>
      </c>
    </row>
    <row r="181" spans="1:2" x14ac:dyDescent="0.25">
      <c r="A181">
        <v>17.8</v>
      </c>
      <c r="B181">
        <v>9.51</v>
      </c>
    </row>
    <row r="182" spans="1:2" x14ac:dyDescent="0.25">
      <c r="A182">
        <v>17.899999999999999</v>
      </c>
      <c r="B182">
        <v>9.49</v>
      </c>
    </row>
    <row r="183" spans="1:2" x14ac:dyDescent="0.25">
      <c r="A183">
        <v>18</v>
      </c>
      <c r="B183">
        <v>9.4700000000000006</v>
      </c>
    </row>
    <row r="184" spans="1:2" x14ac:dyDescent="0.25">
      <c r="A184">
        <v>18.100000000000001</v>
      </c>
      <c r="B184">
        <v>9.4499999999999993</v>
      </c>
    </row>
    <row r="185" spans="1:2" x14ac:dyDescent="0.25">
      <c r="A185">
        <v>18.2</v>
      </c>
      <c r="B185">
        <v>9.43</v>
      </c>
    </row>
    <row r="186" spans="1:2" x14ac:dyDescent="0.25">
      <c r="A186">
        <v>18.3</v>
      </c>
      <c r="B186">
        <v>9.41</v>
      </c>
    </row>
    <row r="187" spans="1:2" x14ac:dyDescent="0.25">
      <c r="A187">
        <v>18.399999999999999</v>
      </c>
      <c r="B187">
        <v>9.39</v>
      </c>
    </row>
    <row r="188" spans="1:2" x14ac:dyDescent="0.25">
      <c r="A188">
        <v>18.5</v>
      </c>
      <c r="B188">
        <v>9.3800000000000008</v>
      </c>
    </row>
    <row r="189" spans="1:2" x14ac:dyDescent="0.25">
      <c r="A189">
        <v>18.600000000000001</v>
      </c>
      <c r="B189">
        <v>9.36</v>
      </c>
    </row>
    <row r="190" spans="1:2" x14ac:dyDescent="0.25">
      <c r="A190">
        <v>18.7</v>
      </c>
      <c r="B190">
        <v>9.34</v>
      </c>
    </row>
    <row r="191" spans="1:2" x14ac:dyDescent="0.25">
      <c r="A191">
        <v>18.8</v>
      </c>
      <c r="B191">
        <v>9.32</v>
      </c>
    </row>
    <row r="192" spans="1:2" x14ac:dyDescent="0.25">
      <c r="A192">
        <v>18.899999999999999</v>
      </c>
      <c r="B192">
        <v>9.3000000000000007</v>
      </c>
    </row>
    <row r="193" spans="1:2" x14ac:dyDescent="0.25">
      <c r="A193">
        <v>19</v>
      </c>
      <c r="B193">
        <v>9.2799999999999994</v>
      </c>
    </row>
    <row r="194" spans="1:2" x14ac:dyDescent="0.25">
      <c r="A194">
        <v>19.100000000000001</v>
      </c>
      <c r="B194">
        <v>9.26</v>
      </c>
    </row>
    <row r="195" spans="1:2" x14ac:dyDescent="0.25">
      <c r="A195">
        <v>19.2</v>
      </c>
      <c r="B195">
        <v>9.24</v>
      </c>
    </row>
    <row r="196" spans="1:2" x14ac:dyDescent="0.25">
      <c r="A196">
        <v>19.3</v>
      </c>
      <c r="B196">
        <v>9.2200000000000006</v>
      </c>
    </row>
    <row r="197" spans="1:2" x14ac:dyDescent="0.25">
      <c r="A197">
        <v>19.399999999999999</v>
      </c>
      <c r="B197">
        <v>9.1999999999999993</v>
      </c>
    </row>
    <row r="198" spans="1:2" x14ac:dyDescent="0.25">
      <c r="A198">
        <v>19.5</v>
      </c>
      <c r="B198">
        <v>9.18</v>
      </c>
    </row>
    <row r="199" spans="1:2" x14ac:dyDescent="0.25">
      <c r="A199">
        <v>19.600000000000001</v>
      </c>
      <c r="B199">
        <v>9.17</v>
      </c>
    </row>
    <row r="200" spans="1:2" x14ac:dyDescent="0.25">
      <c r="A200">
        <v>19.7</v>
      </c>
      <c r="B200">
        <v>9.15</v>
      </c>
    </row>
    <row r="201" spans="1:2" x14ac:dyDescent="0.25">
      <c r="A201">
        <v>19.8</v>
      </c>
      <c r="B201">
        <v>9.1300000000000008</v>
      </c>
    </row>
    <row r="202" spans="1:2" x14ac:dyDescent="0.25">
      <c r="A202">
        <v>19.899999999999999</v>
      </c>
      <c r="B202">
        <v>9.11</v>
      </c>
    </row>
    <row r="203" spans="1:2" x14ac:dyDescent="0.25">
      <c r="A203">
        <v>20</v>
      </c>
      <c r="B203">
        <v>9.09</v>
      </c>
    </row>
    <row r="204" spans="1:2" x14ac:dyDescent="0.25">
      <c r="A204">
        <v>20.100000000000001</v>
      </c>
      <c r="B204">
        <v>9.07</v>
      </c>
    </row>
    <row r="205" spans="1:2" x14ac:dyDescent="0.25">
      <c r="A205">
        <v>20.2</v>
      </c>
      <c r="B205">
        <v>9.06</v>
      </c>
    </row>
    <row r="206" spans="1:2" x14ac:dyDescent="0.25">
      <c r="A206">
        <v>20.3</v>
      </c>
      <c r="B206">
        <v>9.0399999999999991</v>
      </c>
    </row>
    <row r="207" spans="1:2" x14ac:dyDescent="0.25">
      <c r="A207">
        <v>20.399999999999999</v>
      </c>
      <c r="B207">
        <v>9.02</v>
      </c>
    </row>
    <row r="208" spans="1:2" x14ac:dyDescent="0.25">
      <c r="A208">
        <v>20.5</v>
      </c>
      <c r="B208">
        <v>9</v>
      </c>
    </row>
    <row r="209" spans="1:2" x14ac:dyDescent="0.25">
      <c r="A209">
        <v>20.6</v>
      </c>
      <c r="B209">
        <v>8.99</v>
      </c>
    </row>
    <row r="210" spans="1:2" x14ac:dyDescent="0.25">
      <c r="A210">
        <v>20.7</v>
      </c>
      <c r="B210">
        <v>8.9700000000000006</v>
      </c>
    </row>
    <row r="211" spans="1:2" x14ac:dyDescent="0.25">
      <c r="A211">
        <v>20.8</v>
      </c>
      <c r="B211">
        <v>8.9499999999999993</v>
      </c>
    </row>
    <row r="212" spans="1:2" x14ac:dyDescent="0.25">
      <c r="A212">
        <v>20.9</v>
      </c>
      <c r="B212">
        <v>8.94</v>
      </c>
    </row>
    <row r="213" spans="1:2" x14ac:dyDescent="0.25">
      <c r="A213">
        <v>21</v>
      </c>
      <c r="B213">
        <v>8.92</v>
      </c>
    </row>
    <row r="214" spans="1:2" x14ac:dyDescent="0.25">
      <c r="A214">
        <v>21.1</v>
      </c>
      <c r="B214">
        <v>8.9</v>
      </c>
    </row>
    <row r="215" spans="1:2" x14ac:dyDescent="0.25">
      <c r="A215">
        <v>21.2</v>
      </c>
      <c r="B215">
        <v>8.8800000000000008</v>
      </c>
    </row>
    <row r="216" spans="1:2" x14ac:dyDescent="0.25">
      <c r="A216">
        <v>21.3</v>
      </c>
      <c r="B216">
        <v>8.8699999999999992</v>
      </c>
    </row>
    <row r="217" spans="1:2" x14ac:dyDescent="0.25">
      <c r="A217">
        <v>21.4</v>
      </c>
      <c r="B217">
        <v>8.85</v>
      </c>
    </row>
    <row r="218" spans="1:2" x14ac:dyDescent="0.25">
      <c r="A218">
        <v>21.5</v>
      </c>
      <c r="B218">
        <v>8.83</v>
      </c>
    </row>
    <row r="219" spans="1:2" x14ac:dyDescent="0.25">
      <c r="A219">
        <v>21.6</v>
      </c>
      <c r="B219">
        <v>8.81</v>
      </c>
    </row>
    <row r="220" spans="1:2" x14ac:dyDescent="0.25">
      <c r="A220">
        <v>21.7</v>
      </c>
      <c r="B220">
        <v>8.7899999999999991</v>
      </c>
    </row>
    <row r="221" spans="1:2" x14ac:dyDescent="0.25">
      <c r="A221">
        <v>21.8</v>
      </c>
      <c r="B221">
        <v>8.7799999999999994</v>
      </c>
    </row>
    <row r="222" spans="1:2" x14ac:dyDescent="0.25">
      <c r="A222">
        <v>21.9</v>
      </c>
      <c r="B222">
        <v>8.76</v>
      </c>
    </row>
    <row r="223" spans="1:2" x14ac:dyDescent="0.25">
      <c r="A223">
        <v>22</v>
      </c>
      <c r="B223">
        <v>8.74</v>
      </c>
    </row>
    <row r="224" spans="1:2" x14ac:dyDescent="0.25">
      <c r="A224">
        <v>22.1</v>
      </c>
      <c r="B224">
        <v>8.7200000000000006</v>
      </c>
    </row>
    <row r="225" spans="1:2" x14ac:dyDescent="0.25">
      <c r="A225">
        <v>22.2</v>
      </c>
      <c r="B225">
        <v>8.7100000000000009</v>
      </c>
    </row>
    <row r="226" spans="1:2" x14ac:dyDescent="0.25">
      <c r="A226">
        <v>22.3</v>
      </c>
      <c r="B226">
        <v>8.69</v>
      </c>
    </row>
    <row r="227" spans="1:2" x14ac:dyDescent="0.25">
      <c r="A227">
        <v>22.4</v>
      </c>
      <c r="B227">
        <v>8.68</v>
      </c>
    </row>
    <row r="228" spans="1:2" x14ac:dyDescent="0.25">
      <c r="A228">
        <v>22.5</v>
      </c>
      <c r="B228">
        <v>8.66</v>
      </c>
    </row>
    <row r="229" spans="1:2" x14ac:dyDescent="0.25">
      <c r="A229">
        <v>22.6</v>
      </c>
      <c r="B229">
        <v>8.64</v>
      </c>
    </row>
    <row r="230" spans="1:2" x14ac:dyDescent="0.25">
      <c r="A230">
        <v>22.7</v>
      </c>
      <c r="B230">
        <v>8.6300000000000008</v>
      </c>
    </row>
    <row r="231" spans="1:2" x14ac:dyDescent="0.25">
      <c r="A231">
        <v>22.8</v>
      </c>
      <c r="B231">
        <v>8.61</v>
      </c>
    </row>
    <row r="232" spans="1:2" x14ac:dyDescent="0.25">
      <c r="A232">
        <v>22.9</v>
      </c>
      <c r="B232">
        <v>8.6</v>
      </c>
    </row>
    <row r="233" spans="1:2" x14ac:dyDescent="0.25">
      <c r="A233">
        <v>23</v>
      </c>
      <c r="B233">
        <v>8.58</v>
      </c>
    </row>
    <row r="234" spans="1:2" x14ac:dyDescent="0.25">
      <c r="A234">
        <v>23.1</v>
      </c>
      <c r="B234">
        <v>8.56</v>
      </c>
    </row>
    <row r="235" spans="1:2" x14ac:dyDescent="0.25">
      <c r="A235">
        <v>23.2</v>
      </c>
      <c r="B235">
        <v>8.5500000000000007</v>
      </c>
    </row>
    <row r="236" spans="1:2" x14ac:dyDescent="0.25">
      <c r="A236">
        <v>23.3</v>
      </c>
      <c r="B236">
        <v>8.5299999999999994</v>
      </c>
    </row>
    <row r="237" spans="1:2" x14ac:dyDescent="0.25">
      <c r="A237">
        <v>23.4</v>
      </c>
      <c r="B237">
        <v>8.52</v>
      </c>
    </row>
    <row r="238" spans="1:2" x14ac:dyDescent="0.25">
      <c r="A238">
        <v>23.5</v>
      </c>
      <c r="B238">
        <v>8.5</v>
      </c>
    </row>
    <row r="239" spans="1:2" x14ac:dyDescent="0.25">
      <c r="A239">
        <v>23.6</v>
      </c>
      <c r="B239">
        <v>8.48</v>
      </c>
    </row>
    <row r="240" spans="1:2" x14ac:dyDescent="0.25">
      <c r="A240">
        <v>23.7</v>
      </c>
      <c r="B240">
        <v>8.4700000000000006</v>
      </c>
    </row>
    <row r="241" spans="1:2" x14ac:dyDescent="0.25">
      <c r="A241">
        <v>23.8</v>
      </c>
      <c r="B241">
        <v>8.4499999999999993</v>
      </c>
    </row>
    <row r="242" spans="1:2" x14ac:dyDescent="0.25">
      <c r="A242">
        <v>23.9</v>
      </c>
      <c r="B242">
        <v>8.44</v>
      </c>
    </row>
    <row r="243" spans="1:2" x14ac:dyDescent="0.25">
      <c r="A243">
        <v>24</v>
      </c>
      <c r="B243">
        <v>8.42</v>
      </c>
    </row>
    <row r="244" spans="1:2" x14ac:dyDescent="0.25">
      <c r="A244">
        <v>24.1</v>
      </c>
      <c r="B244">
        <v>8.4</v>
      </c>
    </row>
    <row r="245" spans="1:2" x14ac:dyDescent="0.25">
      <c r="A245">
        <v>24.2</v>
      </c>
      <c r="B245">
        <v>8.39</v>
      </c>
    </row>
    <row r="246" spans="1:2" x14ac:dyDescent="0.25">
      <c r="A246">
        <v>24.3</v>
      </c>
      <c r="B246">
        <v>8.3699999999999992</v>
      </c>
    </row>
    <row r="247" spans="1:2" x14ac:dyDescent="0.25">
      <c r="A247">
        <v>24.4</v>
      </c>
      <c r="B247">
        <v>8.36</v>
      </c>
    </row>
    <row r="248" spans="1:2" x14ac:dyDescent="0.25">
      <c r="A248">
        <v>24.5</v>
      </c>
      <c r="B248">
        <v>8.34</v>
      </c>
    </row>
    <row r="249" spans="1:2" x14ac:dyDescent="0.25">
      <c r="A249">
        <v>24.6</v>
      </c>
      <c r="B249">
        <v>8.32</v>
      </c>
    </row>
    <row r="250" spans="1:2" x14ac:dyDescent="0.25">
      <c r="A250">
        <v>24.7</v>
      </c>
      <c r="B250">
        <v>8.31</v>
      </c>
    </row>
    <row r="251" spans="1:2" x14ac:dyDescent="0.25">
      <c r="A251">
        <v>24.8</v>
      </c>
      <c r="B251">
        <v>8.2899999999999991</v>
      </c>
    </row>
    <row r="252" spans="1:2" x14ac:dyDescent="0.25">
      <c r="A252">
        <v>24.9</v>
      </c>
      <c r="B252">
        <v>8.2799999999999994</v>
      </c>
    </row>
    <row r="253" spans="1:2" x14ac:dyDescent="0.25">
      <c r="A253">
        <v>25</v>
      </c>
      <c r="B253">
        <v>8.26</v>
      </c>
    </row>
    <row r="254" spans="1:2" x14ac:dyDescent="0.25">
      <c r="A254">
        <v>25.1</v>
      </c>
      <c r="B254">
        <v>8.24</v>
      </c>
    </row>
    <row r="255" spans="1:2" x14ac:dyDescent="0.25">
      <c r="A255">
        <v>25.2</v>
      </c>
      <c r="B255">
        <v>8.23</v>
      </c>
    </row>
    <row r="256" spans="1:2" x14ac:dyDescent="0.25">
      <c r="A256">
        <v>25.3</v>
      </c>
      <c r="B256">
        <v>8.2100000000000009</v>
      </c>
    </row>
    <row r="257" spans="1:2" x14ac:dyDescent="0.25">
      <c r="A257">
        <v>25.4</v>
      </c>
      <c r="B257">
        <v>8.1999999999999993</v>
      </c>
    </row>
    <row r="258" spans="1:2" x14ac:dyDescent="0.25">
      <c r="A258">
        <v>25.5</v>
      </c>
      <c r="B258">
        <v>8.18</v>
      </c>
    </row>
    <row r="259" spans="1:2" x14ac:dyDescent="0.25">
      <c r="A259">
        <v>25.6</v>
      </c>
      <c r="B259">
        <v>8.17</v>
      </c>
    </row>
    <row r="260" spans="1:2" x14ac:dyDescent="0.25">
      <c r="A260">
        <v>25.7</v>
      </c>
      <c r="B260">
        <v>8.15</v>
      </c>
    </row>
    <row r="261" spans="1:2" x14ac:dyDescent="0.25">
      <c r="A261">
        <v>25.8</v>
      </c>
      <c r="B261">
        <v>8.14</v>
      </c>
    </row>
    <row r="262" spans="1:2" x14ac:dyDescent="0.25">
      <c r="A262">
        <v>25.9</v>
      </c>
      <c r="B262">
        <v>8.1199999999999992</v>
      </c>
    </row>
    <row r="263" spans="1:2" x14ac:dyDescent="0.25">
      <c r="A263">
        <v>26</v>
      </c>
      <c r="B263">
        <v>8.11</v>
      </c>
    </row>
    <row r="264" spans="1:2" x14ac:dyDescent="0.25">
      <c r="A264">
        <v>26.1</v>
      </c>
      <c r="B264">
        <v>8.1</v>
      </c>
    </row>
    <row r="265" spans="1:2" x14ac:dyDescent="0.25">
      <c r="A265">
        <v>26.2</v>
      </c>
      <c r="B265">
        <v>8.08</v>
      </c>
    </row>
    <row r="266" spans="1:2" x14ac:dyDescent="0.25">
      <c r="A266">
        <v>26.3</v>
      </c>
      <c r="B266">
        <v>8.07</v>
      </c>
    </row>
    <row r="267" spans="1:2" x14ac:dyDescent="0.25">
      <c r="A267">
        <v>26.4</v>
      </c>
      <c r="B267">
        <v>8.0500000000000007</v>
      </c>
    </row>
    <row r="268" spans="1:2" x14ac:dyDescent="0.25">
      <c r="A268">
        <v>26.5</v>
      </c>
      <c r="B268">
        <v>8.0399999999999991</v>
      </c>
    </row>
    <row r="269" spans="1:2" x14ac:dyDescent="0.25">
      <c r="A269">
        <v>26.6</v>
      </c>
      <c r="B269">
        <v>8.0299999999999994</v>
      </c>
    </row>
    <row r="270" spans="1:2" x14ac:dyDescent="0.25">
      <c r="A270">
        <v>26.7</v>
      </c>
      <c r="B270">
        <v>8.01</v>
      </c>
    </row>
    <row r="271" spans="1:2" x14ac:dyDescent="0.25">
      <c r="A271">
        <v>26.8</v>
      </c>
      <c r="B271">
        <v>8</v>
      </c>
    </row>
    <row r="272" spans="1:2" x14ac:dyDescent="0.25">
      <c r="A272">
        <v>26.9</v>
      </c>
      <c r="B272">
        <v>7.98</v>
      </c>
    </row>
    <row r="273" spans="1:2" x14ac:dyDescent="0.25">
      <c r="A273">
        <v>27</v>
      </c>
      <c r="B273">
        <v>7.97</v>
      </c>
    </row>
    <row r="274" spans="1:2" x14ac:dyDescent="0.25">
      <c r="A274">
        <v>27.1</v>
      </c>
      <c r="B274">
        <v>7.96</v>
      </c>
    </row>
    <row r="275" spans="1:2" x14ac:dyDescent="0.25">
      <c r="A275">
        <v>27.2</v>
      </c>
      <c r="B275">
        <v>7.94</v>
      </c>
    </row>
    <row r="276" spans="1:2" x14ac:dyDescent="0.25">
      <c r="A276">
        <v>27.3</v>
      </c>
      <c r="B276">
        <v>7.93</v>
      </c>
    </row>
    <row r="277" spans="1:2" x14ac:dyDescent="0.25">
      <c r="A277">
        <v>27.4</v>
      </c>
      <c r="B277">
        <v>7.91</v>
      </c>
    </row>
    <row r="278" spans="1:2" x14ac:dyDescent="0.25">
      <c r="A278">
        <v>27.5</v>
      </c>
      <c r="B278">
        <v>7.9</v>
      </c>
    </row>
    <row r="279" spans="1:2" x14ac:dyDescent="0.25">
      <c r="A279">
        <v>27.6</v>
      </c>
      <c r="B279">
        <v>7.89</v>
      </c>
    </row>
    <row r="280" spans="1:2" x14ac:dyDescent="0.25">
      <c r="A280">
        <v>27.7</v>
      </c>
      <c r="B280">
        <v>7.87</v>
      </c>
    </row>
    <row r="281" spans="1:2" x14ac:dyDescent="0.25">
      <c r="A281">
        <v>27.8</v>
      </c>
      <c r="B281">
        <v>7.86</v>
      </c>
    </row>
    <row r="282" spans="1:2" x14ac:dyDescent="0.25">
      <c r="A282">
        <v>27.9</v>
      </c>
      <c r="B282">
        <v>7.84</v>
      </c>
    </row>
    <row r="283" spans="1:2" x14ac:dyDescent="0.25">
      <c r="A283">
        <v>28</v>
      </c>
      <c r="B283">
        <v>7.83</v>
      </c>
    </row>
    <row r="284" spans="1:2" x14ac:dyDescent="0.25">
      <c r="A284">
        <v>28.1</v>
      </c>
      <c r="B284">
        <v>7.82</v>
      </c>
    </row>
    <row r="285" spans="1:2" x14ac:dyDescent="0.25">
      <c r="A285">
        <v>28.2</v>
      </c>
      <c r="B285">
        <v>7.8</v>
      </c>
    </row>
    <row r="286" spans="1:2" x14ac:dyDescent="0.25">
      <c r="A286">
        <v>28.3</v>
      </c>
      <c r="B286">
        <v>7.79</v>
      </c>
    </row>
    <row r="287" spans="1:2" x14ac:dyDescent="0.25">
      <c r="A287">
        <v>28.4</v>
      </c>
      <c r="B287">
        <v>7.77</v>
      </c>
    </row>
    <row r="288" spans="1:2" x14ac:dyDescent="0.25">
      <c r="A288">
        <v>28.5</v>
      </c>
      <c r="B288">
        <v>7.76</v>
      </c>
    </row>
    <row r="289" spans="1:2" x14ac:dyDescent="0.25">
      <c r="A289">
        <v>28.6</v>
      </c>
      <c r="B289">
        <v>7.75</v>
      </c>
    </row>
    <row r="290" spans="1:2" x14ac:dyDescent="0.25">
      <c r="A290">
        <v>28.7</v>
      </c>
      <c r="B290">
        <v>7.73</v>
      </c>
    </row>
    <row r="291" spans="1:2" x14ac:dyDescent="0.25">
      <c r="A291">
        <v>28.8</v>
      </c>
      <c r="B291">
        <v>7.72</v>
      </c>
    </row>
    <row r="292" spans="1:2" x14ac:dyDescent="0.25">
      <c r="A292">
        <v>28.9</v>
      </c>
      <c r="B292">
        <v>7.7</v>
      </c>
    </row>
    <row r="293" spans="1:2" x14ac:dyDescent="0.25">
      <c r="A293">
        <v>29</v>
      </c>
      <c r="B293">
        <v>7.69</v>
      </c>
    </row>
    <row r="294" spans="1:2" x14ac:dyDescent="0.25">
      <c r="A294">
        <v>29.1</v>
      </c>
      <c r="B294">
        <v>7.68</v>
      </c>
    </row>
    <row r="295" spans="1:2" x14ac:dyDescent="0.25">
      <c r="A295">
        <v>29.2</v>
      </c>
      <c r="B295">
        <v>7.66</v>
      </c>
    </row>
    <row r="296" spans="1:2" x14ac:dyDescent="0.25">
      <c r="A296">
        <v>29.3</v>
      </c>
      <c r="B296">
        <v>7.65</v>
      </c>
    </row>
    <row r="297" spans="1:2" x14ac:dyDescent="0.25">
      <c r="A297">
        <v>29.4</v>
      </c>
      <c r="B297">
        <v>7.64</v>
      </c>
    </row>
    <row r="298" spans="1:2" x14ac:dyDescent="0.25">
      <c r="A298">
        <v>29.5</v>
      </c>
      <c r="B298">
        <v>7.62</v>
      </c>
    </row>
    <row r="299" spans="1:2" x14ac:dyDescent="0.25">
      <c r="A299">
        <v>29.6</v>
      </c>
      <c r="B299">
        <v>7.61</v>
      </c>
    </row>
    <row r="300" spans="1:2" x14ac:dyDescent="0.25">
      <c r="A300">
        <v>29.7</v>
      </c>
      <c r="B300">
        <v>7.6</v>
      </c>
    </row>
    <row r="301" spans="1:2" x14ac:dyDescent="0.25">
      <c r="A301">
        <v>29.8</v>
      </c>
      <c r="B301">
        <v>7.59</v>
      </c>
    </row>
    <row r="302" spans="1:2" x14ac:dyDescent="0.25">
      <c r="A302">
        <v>29.9</v>
      </c>
      <c r="B302">
        <v>7.57</v>
      </c>
    </row>
    <row r="303" spans="1:2" x14ac:dyDescent="0.25">
      <c r="A303">
        <v>30</v>
      </c>
      <c r="B303">
        <v>7.56</v>
      </c>
    </row>
    <row r="304" spans="1:2" x14ac:dyDescent="0.25">
      <c r="A304">
        <v>30.1</v>
      </c>
      <c r="B304">
        <v>7.55</v>
      </c>
    </row>
    <row r="305" spans="1:2" x14ac:dyDescent="0.25">
      <c r="A305">
        <v>30.2</v>
      </c>
      <c r="B305">
        <v>7.53</v>
      </c>
    </row>
    <row r="306" spans="1:2" x14ac:dyDescent="0.25">
      <c r="A306">
        <v>30.3</v>
      </c>
      <c r="B306">
        <v>7.52</v>
      </c>
    </row>
    <row r="307" spans="1:2" x14ac:dyDescent="0.25">
      <c r="A307">
        <v>30.4</v>
      </c>
      <c r="B307">
        <v>7.51</v>
      </c>
    </row>
    <row r="308" spans="1:2" x14ac:dyDescent="0.25">
      <c r="A308">
        <v>30.5</v>
      </c>
      <c r="B308">
        <v>7.49</v>
      </c>
    </row>
    <row r="309" spans="1:2" x14ac:dyDescent="0.25">
      <c r="A309">
        <v>30.6</v>
      </c>
      <c r="B309">
        <v>7.48</v>
      </c>
    </row>
    <row r="310" spans="1:2" x14ac:dyDescent="0.25">
      <c r="A310">
        <v>30.7</v>
      </c>
      <c r="B310">
        <v>7.47</v>
      </c>
    </row>
    <row r="311" spans="1:2" x14ac:dyDescent="0.25">
      <c r="A311">
        <v>30.8</v>
      </c>
      <c r="B311">
        <v>7.46</v>
      </c>
    </row>
    <row r="312" spans="1:2" x14ac:dyDescent="0.25">
      <c r="A312">
        <v>30.9</v>
      </c>
      <c r="B312">
        <v>7.44</v>
      </c>
    </row>
    <row r="313" spans="1:2" x14ac:dyDescent="0.25">
      <c r="A313">
        <v>31</v>
      </c>
      <c r="B313">
        <v>7.43</v>
      </c>
    </row>
    <row r="314" spans="1:2" x14ac:dyDescent="0.25">
      <c r="A314">
        <v>31.1</v>
      </c>
      <c r="B314">
        <v>7.42</v>
      </c>
    </row>
    <row r="315" spans="1:2" x14ac:dyDescent="0.25">
      <c r="A315">
        <v>31.2</v>
      </c>
      <c r="B315">
        <v>7.41</v>
      </c>
    </row>
    <row r="316" spans="1:2" x14ac:dyDescent="0.25">
      <c r="A316">
        <v>31.3</v>
      </c>
      <c r="B316">
        <v>7.39</v>
      </c>
    </row>
    <row r="317" spans="1:2" x14ac:dyDescent="0.25">
      <c r="A317">
        <v>31.4</v>
      </c>
      <c r="B317">
        <v>7.38</v>
      </c>
    </row>
    <row r="318" spans="1:2" x14ac:dyDescent="0.25">
      <c r="A318">
        <v>31.5</v>
      </c>
      <c r="B318">
        <v>7.37</v>
      </c>
    </row>
    <row r="319" spans="1:2" x14ac:dyDescent="0.25">
      <c r="A319">
        <v>31.6</v>
      </c>
      <c r="B319">
        <v>7.36</v>
      </c>
    </row>
    <row r="320" spans="1:2" x14ac:dyDescent="0.25">
      <c r="A320">
        <v>31.7</v>
      </c>
      <c r="B320">
        <v>7.35</v>
      </c>
    </row>
    <row r="321" spans="1:2" x14ac:dyDescent="0.25">
      <c r="A321">
        <v>31.8</v>
      </c>
      <c r="B321">
        <v>7.33</v>
      </c>
    </row>
    <row r="322" spans="1:2" x14ac:dyDescent="0.25">
      <c r="A322">
        <v>31.9</v>
      </c>
      <c r="B322">
        <v>7.32</v>
      </c>
    </row>
    <row r="323" spans="1:2" x14ac:dyDescent="0.25">
      <c r="A323">
        <v>32</v>
      </c>
      <c r="B323">
        <v>7.31</v>
      </c>
    </row>
    <row r="324" spans="1:2" x14ac:dyDescent="0.25">
      <c r="A324">
        <v>32.1</v>
      </c>
      <c r="B324">
        <v>7.3</v>
      </c>
    </row>
    <row r="325" spans="1:2" x14ac:dyDescent="0.25">
      <c r="A325">
        <v>32.200000000000003</v>
      </c>
      <c r="B325">
        <v>7.28</v>
      </c>
    </row>
    <row r="326" spans="1:2" x14ac:dyDescent="0.25">
      <c r="A326">
        <v>32.299999999999997</v>
      </c>
      <c r="B326">
        <v>7.27</v>
      </c>
    </row>
    <row r="327" spans="1:2" x14ac:dyDescent="0.25">
      <c r="A327">
        <v>32.4</v>
      </c>
      <c r="B327">
        <v>7.26</v>
      </c>
    </row>
    <row r="328" spans="1:2" x14ac:dyDescent="0.25">
      <c r="A328">
        <v>32.5</v>
      </c>
      <c r="B328">
        <v>7.24</v>
      </c>
    </row>
    <row r="329" spans="1:2" x14ac:dyDescent="0.25">
      <c r="A329">
        <v>32.6</v>
      </c>
      <c r="B329">
        <v>7.23</v>
      </c>
    </row>
    <row r="330" spans="1:2" x14ac:dyDescent="0.25">
      <c r="A330">
        <v>32.700000000000003</v>
      </c>
      <c r="B330">
        <v>7.22</v>
      </c>
    </row>
    <row r="331" spans="1:2" x14ac:dyDescent="0.25">
      <c r="A331">
        <v>32.799999999999997</v>
      </c>
      <c r="B331">
        <v>7.21</v>
      </c>
    </row>
    <row r="332" spans="1:2" x14ac:dyDescent="0.25">
      <c r="A332">
        <v>32.9</v>
      </c>
      <c r="B332">
        <v>7.19</v>
      </c>
    </row>
    <row r="333" spans="1:2" x14ac:dyDescent="0.25">
      <c r="A333">
        <v>33</v>
      </c>
      <c r="B333">
        <v>7.18</v>
      </c>
    </row>
    <row r="334" spans="1:2" x14ac:dyDescent="0.25">
      <c r="A334">
        <v>33.1</v>
      </c>
      <c r="B334">
        <v>7.17</v>
      </c>
    </row>
    <row r="335" spans="1:2" x14ac:dyDescent="0.25">
      <c r="A335">
        <v>33.200000000000003</v>
      </c>
      <c r="B335">
        <v>7.16</v>
      </c>
    </row>
    <row r="336" spans="1:2" x14ac:dyDescent="0.25">
      <c r="A336">
        <v>33.299999999999997</v>
      </c>
      <c r="B336">
        <v>7.15</v>
      </c>
    </row>
    <row r="337" spans="1:2" x14ac:dyDescent="0.25">
      <c r="A337">
        <v>33.4</v>
      </c>
      <c r="B337">
        <v>7.14</v>
      </c>
    </row>
    <row r="338" spans="1:2" x14ac:dyDescent="0.25">
      <c r="A338">
        <v>33.5</v>
      </c>
      <c r="B338">
        <v>7.12</v>
      </c>
    </row>
    <row r="339" spans="1:2" x14ac:dyDescent="0.25">
      <c r="A339">
        <v>33.6</v>
      </c>
      <c r="B339">
        <v>7.11</v>
      </c>
    </row>
    <row r="340" spans="1:2" x14ac:dyDescent="0.25">
      <c r="A340">
        <v>33.700000000000003</v>
      </c>
      <c r="B340">
        <v>7.1</v>
      </c>
    </row>
    <row r="341" spans="1:2" x14ac:dyDescent="0.25">
      <c r="A341">
        <v>33.799999999999997</v>
      </c>
      <c r="B341">
        <v>7.09</v>
      </c>
    </row>
    <row r="342" spans="1:2" x14ac:dyDescent="0.25">
      <c r="A342">
        <v>33.9</v>
      </c>
      <c r="B342">
        <v>7.08</v>
      </c>
    </row>
    <row r="343" spans="1:2" x14ac:dyDescent="0.25">
      <c r="A343">
        <v>34</v>
      </c>
      <c r="B343">
        <v>7.07</v>
      </c>
    </row>
    <row r="344" spans="1:2" x14ac:dyDescent="0.25">
      <c r="A344">
        <v>34.1</v>
      </c>
      <c r="B344">
        <v>7.06</v>
      </c>
    </row>
    <row r="345" spans="1:2" x14ac:dyDescent="0.25">
      <c r="A345">
        <v>34.200000000000003</v>
      </c>
      <c r="B345">
        <v>7.05</v>
      </c>
    </row>
    <row r="346" spans="1:2" x14ac:dyDescent="0.25">
      <c r="A346">
        <v>34.299999999999997</v>
      </c>
      <c r="B346">
        <v>7.03</v>
      </c>
    </row>
    <row r="347" spans="1:2" x14ac:dyDescent="0.25">
      <c r="A347">
        <v>34.4</v>
      </c>
      <c r="B347">
        <v>7.02</v>
      </c>
    </row>
    <row r="348" spans="1:2" x14ac:dyDescent="0.25">
      <c r="A348">
        <v>34.5</v>
      </c>
      <c r="B348">
        <v>7.01</v>
      </c>
    </row>
    <row r="349" spans="1:2" x14ac:dyDescent="0.25">
      <c r="A349">
        <v>34.6</v>
      </c>
      <c r="B349">
        <v>7</v>
      </c>
    </row>
    <row r="350" spans="1:2" x14ac:dyDescent="0.25">
      <c r="A350">
        <v>34.700000000000003</v>
      </c>
      <c r="B350">
        <v>6.99</v>
      </c>
    </row>
    <row r="351" spans="1:2" x14ac:dyDescent="0.25">
      <c r="A351">
        <v>34.799999999999997</v>
      </c>
      <c r="B351">
        <v>6.97</v>
      </c>
    </row>
    <row r="352" spans="1:2" x14ac:dyDescent="0.25">
      <c r="A352">
        <v>34.9</v>
      </c>
      <c r="B352">
        <v>6.96</v>
      </c>
    </row>
    <row r="353" spans="1:2" x14ac:dyDescent="0.25">
      <c r="A353">
        <v>35</v>
      </c>
      <c r="B353">
        <v>6.95</v>
      </c>
    </row>
    <row r="354" spans="1:2" x14ac:dyDescent="0.25">
      <c r="A354">
        <v>35.1</v>
      </c>
      <c r="B354">
        <v>6.94</v>
      </c>
    </row>
    <row r="355" spans="1:2" x14ac:dyDescent="0.25">
      <c r="A355">
        <v>35.200000000000003</v>
      </c>
      <c r="B355">
        <v>6.93</v>
      </c>
    </row>
    <row r="356" spans="1:2" x14ac:dyDescent="0.25">
      <c r="A356">
        <v>35.299999999999997</v>
      </c>
      <c r="B356">
        <v>6.92</v>
      </c>
    </row>
    <row r="357" spans="1:2" x14ac:dyDescent="0.25">
      <c r="A357">
        <v>35.4</v>
      </c>
      <c r="B357">
        <v>6.91</v>
      </c>
    </row>
    <row r="358" spans="1:2" x14ac:dyDescent="0.25">
      <c r="A358">
        <v>35.5</v>
      </c>
      <c r="B358">
        <v>6.89</v>
      </c>
    </row>
    <row r="359" spans="1:2" x14ac:dyDescent="0.25">
      <c r="A359">
        <v>35.6</v>
      </c>
      <c r="B359">
        <v>6.88</v>
      </c>
    </row>
    <row r="360" spans="1:2" x14ac:dyDescent="0.25">
      <c r="A360">
        <v>35.700000000000003</v>
      </c>
      <c r="B360">
        <v>6.87</v>
      </c>
    </row>
    <row r="361" spans="1:2" x14ac:dyDescent="0.25">
      <c r="A361">
        <v>35.799999999999997</v>
      </c>
      <c r="B361">
        <v>6.86</v>
      </c>
    </row>
    <row r="362" spans="1:2" x14ac:dyDescent="0.25">
      <c r="A362">
        <v>35.9</v>
      </c>
      <c r="B362">
        <v>6.85</v>
      </c>
    </row>
    <row r="363" spans="1:2" x14ac:dyDescent="0.25">
      <c r="A363">
        <v>36</v>
      </c>
      <c r="B363">
        <v>6.84</v>
      </c>
    </row>
    <row r="364" spans="1:2" x14ac:dyDescent="0.25">
      <c r="A364">
        <v>36.1</v>
      </c>
      <c r="B364">
        <v>6.83</v>
      </c>
    </row>
    <row r="365" spans="1:2" x14ac:dyDescent="0.25">
      <c r="A365">
        <v>36.200000000000003</v>
      </c>
      <c r="B365">
        <v>6.82</v>
      </c>
    </row>
    <row r="366" spans="1:2" x14ac:dyDescent="0.25">
      <c r="A366">
        <v>36.299999999999997</v>
      </c>
      <c r="B366">
        <v>6.81</v>
      </c>
    </row>
    <row r="367" spans="1:2" x14ac:dyDescent="0.25">
      <c r="A367">
        <v>36.4</v>
      </c>
      <c r="B367">
        <v>6.8</v>
      </c>
    </row>
    <row r="368" spans="1:2" x14ac:dyDescent="0.25">
      <c r="A368">
        <v>36.5</v>
      </c>
      <c r="B368">
        <v>6.79</v>
      </c>
    </row>
    <row r="369" spans="1:2" x14ac:dyDescent="0.25">
      <c r="A369">
        <v>36.6</v>
      </c>
      <c r="B369">
        <v>6.77</v>
      </c>
    </row>
    <row r="370" spans="1:2" x14ac:dyDescent="0.25">
      <c r="A370">
        <v>36.700000000000003</v>
      </c>
      <c r="B370">
        <v>6.76</v>
      </c>
    </row>
    <row r="371" spans="1:2" x14ac:dyDescent="0.25">
      <c r="A371">
        <v>36.799999999999997</v>
      </c>
      <c r="B371">
        <v>6.75</v>
      </c>
    </row>
    <row r="372" spans="1:2" x14ac:dyDescent="0.25">
      <c r="A372">
        <v>36.9</v>
      </c>
      <c r="B372">
        <v>6.74</v>
      </c>
    </row>
    <row r="373" spans="1:2" x14ac:dyDescent="0.25">
      <c r="A373">
        <v>37</v>
      </c>
      <c r="B373">
        <v>6.73</v>
      </c>
    </row>
    <row r="374" spans="1:2" x14ac:dyDescent="0.25">
      <c r="A374">
        <v>37.1</v>
      </c>
      <c r="B374">
        <v>6.72</v>
      </c>
    </row>
    <row r="375" spans="1:2" x14ac:dyDescent="0.25">
      <c r="A375">
        <v>37.200000000000003</v>
      </c>
      <c r="B375">
        <v>6.71</v>
      </c>
    </row>
    <row r="376" spans="1:2" x14ac:dyDescent="0.25">
      <c r="A376">
        <v>37.299999999999997</v>
      </c>
      <c r="B376">
        <v>6.7</v>
      </c>
    </row>
    <row r="377" spans="1:2" x14ac:dyDescent="0.25">
      <c r="A377">
        <v>37.4</v>
      </c>
      <c r="B377">
        <v>6.69</v>
      </c>
    </row>
    <row r="378" spans="1:2" x14ac:dyDescent="0.25">
      <c r="A378">
        <v>37.5</v>
      </c>
      <c r="B378">
        <v>6.68</v>
      </c>
    </row>
    <row r="379" spans="1:2" x14ac:dyDescent="0.25">
      <c r="A379">
        <v>37.6</v>
      </c>
      <c r="B379">
        <v>6.66</v>
      </c>
    </row>
    <row r="380" spans="1:2" x14ac:dyDescent="0.25">
      <c r="A380">
        <v>37.700000000000003</v>
      </c>
      <c r="B380">
        <v>6.65</v>
      </c>
    </row>
    <row r="381" spans="1:2" x14ac:dyDescent="0.25">
      <c r="A381">
        <v>37.799999999999997</v>
      </c>
      <c r="B381">
        <v>6.64</v>
      </c>
    </row>
    <row r="382" spans="1:2" x14ac:dyDescent="0.25">
      <c r="A382">
        <v>37.9</v>
      </c>
      <c r="B382">
        <v>6.63</v>
      </c>
    </row>
    <row r="383" spans="1:2" x14ac:dyDescent="0.25">
      <c r="A383">
        <v>38</v>
      </c>
      <c r="B383">
        <v>6.62</v>
      </c>
    </row>
    <row r="384" spans="1:2" x14ac:dyDescent="0.25">
      <c r="A384">
        <v>38.1</v>
      </c>
      <c r="B384">
        <v>6.61</v>
      </c>
    </row>
    <row r="385" spans="1:2" x14ac:dyDescent="0.25">
      <c r="A385">
        <v>38.200000000000003</v>
      </c>
      <c r="B385">
        <v>6.6</v>
      </c>
    </row>
    <row r="386" spans="1:2" x14ac:dyDescent="0.25">
      <c r="A386">
        <v>38.299999999999997</v>
      </c>
      <c r="B386">
        <v>6.59</v>
      </c>
    </row>
    <row r="387" spans="1:2" x14ac:dyDescent="0.25">
      <c r="A387">
        <v>38.4</v>
      </c>
      <c r="B387">
        <v>6.58</v>
      </c>
    </row>
    <row r="388" spans="1:2" x14ac:dyDescent="0.25">
      <c r="A388">
        <v>38.5</v>
      </c>
      <c r="B388">
        <v>6.57</v>
      </c>
    </row>
    <row r="389" spans="1:2" x14ac:dyDescent="0.25">
      <c r="A389">
        <v>38.6</v>
      </c>
      <c r="B389">
        <v>6.56</v>
      </c>
    </row>
    <row r="390" spans="1:2" x14ac:dyDescent="0.25">
      <c r="A390">
        <v>38.700000000000003</v>
      </c>
      <c r="B390">
        <v>6.55</v>
      </c>
    </row>
    <row r="391" spans="1:2" x14ac:dyDescent="0.25">
      <c r="A391">
        <v>38.799999999999997</v>
      </c>
      <c r="B391">
        <v>6.54</v>
      </c>
    </row>
    <row r="392" spans="1:2" x14ac:dyDescent="0.25">
      <c r="A392">
        <v>38.9</v>
      </c>
      <c r="B392">
        <v>6.53</v>
      </c>
    </row>
    <row r="393" spans="1:2" x14ac:dyDescent="0.25">
      <c r="A393">
        <v>39</v>
      </c>
      <c r="B393">
        <v>6.52</v>
      </c>
    </row>
    <row r="394" spans="1:2" x14ac:dyDescent="0.25">
      <c r="A394">
        <v>39.1</v>
      </c>
      <c r="B394">
        <v>6.51</v>
      </c>
    </row>
    <row r="395" spans="1:2" x14ac:dyDescent="0.25">
      <c r="A395">
        <v>39.200000000000003</v>
      </c>
      <c r="B395">
        <v>6.5</v>
      </c>
    </row>
    <row r="396" spans="1:2" x14ac:dyDescent="0.25">
      <c r="A396">
        <v>39.299999999999997</v>
      </c>
      <c r="B396">
        <v>6.49</v>
      </c>
    </row>
    <row r="397" spans="1:2" x14ac:dyDescent="0.25">
      <c r="A397">
        <v>39.4</v>
      </c>
      <c r="B397">
        <v>6.48</v>
      </c>
    </row>
    <row r="398" spans="1:2" x14ac:dyDescent="0.25">
      <c r="A398">
        <v>39.5</v>
      </c>
      <c r="B398">
        <v>6.46</v>
      </c>
    </row>
    <row r="399" spans="1:2" x14ac:dyDescent="0.25">
      <c r="A399">
        <v>39.6</v>
      </c>
      <c r="B399">
        <v>6.45</v>
      </c>
    </row>
    <row r="400" spans="1:2" x14ac:dyDescent="0.25">
      <c r="A400">
        <v>39.700000000000003</v>
      </c>
      <c r="B400">
        <v>6.44</v>
      </c>
    </row>
    <row r="401" spans="1:2" x14ac:dyDescent="0.25">
      <c r="A401">
        <v>39.799999999999997</v>
      </c>
      <c r="B401">
        <v>6.43</v>
      </c>
    </row>
    <row r="402" spans="1:2" x14ac:dyDescent="0.25">
      <c r="A402">
        <v>39.9</v>
      </c>
      <c r="B402">
        <v>6.42</v>
      </c>
    </row>
    <row r="403" spans="1:2" x14ac:dyDescent="0.25">
      <c r="A403">
        <v>40</v>
      </c>
      <c r="B403">
        <v>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 1</vt:lpstr>
      <vt:lpstr>Day 2</vt:lpstr>
      <vt:lpstr>Day 3</vt:lpstr>
      <vt:lpstr>Day 4</vt:lpstr>
      <vt:lpstr>Day 5</vt:lpstr>
      <vt:lpstr>Day 6</vt:lpstr>
      <vt:lpstr>Summary</vt:lpstr>
      <vt:lpstr>Sat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Lazarus</cp:lastModifiedBy>
  <dcterms:modified xsi:type="dcterms:W3CDTF">2026-10-16T07:10:22Z</dcterms:modified>
</cp:coreProperties>
</file>