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>
  <sheets>
    <sheet name="Calibration" sheetId="1" r:id="rId1"/>
    <sheet name="Sat Table" sheetId="2" r:id="rId2"/>
  </sheets>
</workbook>
</file>

<file path=xl/styles.xml><?xml version="1.0" encoding="utf-8"?>
<styleSheet xmlns="http://schemas.openxmlformats.org/spreadsheetml/2006/main">
  <fonts count="6">
    <font>
      <sz val="11"/>
      <name val="Calibri"/>
    </font>
    <font>
      <b/>
      <sz val="14"/>
      <color rgb="FF1E5140"/>
      <name val="Calibri"/>
    </font>
    <font>
      <b/>
      <sz val="10"/>
      <color rgb="FFFFFFFF"/>
      <name val="Calibri"/>
    </font>
    <font>
      <b/>
      <sz val="11"/>
      <color rgb="FFA75F33"/>
      <name val="Calibri"/>
    </font>
    <font>
      <i/>
      <sz val="9"/>
      <color rgb="FF777777"/>
      <name val="Calibri"/>
    </font>
    <font>
      <b/>
      <sz val="11"/>
      <color rgb="FF1E514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E5140"/>
        <bgColor indexed="64"/>
      </patternFill>
    </fill>
    <fill>
      <patternFill patternType="solid">
        <fgColor rgb="FFFFFBF0"/>
        <bgColor indexed="64"/>
      </patternFill>
    </fill>
    <fill>
      <patternFill patternType="solid">
        <fgColor rgb="FFE0EBE6"/>
        <bgColor indexed="64"/>
      </patternFill>
    </fill>
    <fill>
      <patternFill patternType="solid">
        <fgColor rgb="FFF2F0EB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/>
    <xf numFmtId="0" fontId="2" fillId="2" borderId="1" xfId="0" applyFill="1" applyBorder="1"/>
    <xf numFmtId="0" fontId="0" fillId="3" borderId="1" xfId="0" applyFill="1" applyBorder="1"/>
    <xf numFmtId="0" fontId="3" fillId="0" borderId="0" xfId="0"/>
    <xf numFmtId="0" fontId="0" fillId="4" borderId="1" xfId="0" applyFill="1" applyBorder="1"/>
    <xf numFmtId="0" fontId="4" fillId="0" borderId="0" xfId="0"/>
    <xf numFmtId="0" fontId="0" fillId="5" borderId="1" xfId="0" applyFill="1" applyBorder="1"/>
    <xf numFmtId="0" fontId="5" fillId="4" borderId="1" xfId="0" applyFill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
</file>

<file path=xl/worksheets/sheet1.xml><?xml version="1.0" encoding="utf-8"?>
<worksheet xmlns="http://schemas.openxmlformats.org/spreadsheetml/2006/main">
  <cols>
    <col min="1" max="1" width="42" customWidth="1"/>
    <col min="2" max="2" width="16" customWidth="1"/>
    <col min="3" max="3" width="14" customWidth="1"/>
    <col min="4" max="4" width="46" customWidth="1"/>
  </cols>
  <sheetData>
    <row r="1">
      <c r="A1" s="1" t="inlineStr">
        <is>
          <t>DO SENSOR CALIBRATION</t>
        </is>
      </c>
    </row>
    <row r="2">
      <c r="A2" s="6" t="inlineStr">
        <is>
          <t>Fill the cream cells. Everything green calculates itself.</t>
        </is>
      </c>
    </row>
    <row r="3">
      <c r="A3" s="0" t="inlineStr">
        <is>
          <t>Date:</t>
        </is>
      </c>
      <c r="B3" s="3"/>
      <c r="C3" s="0" t="inlineStr">
        <is>
          <t>By:</t>
        </is>
      </c>
      <c r="D3" s="3"/>
    </row>
    <row r="5">
      <c r="A5" s="4" t="inlineStr">
        <is>
          <t>STEP 1  -  AIR TEMPERATURE</t>
        </is>
      </c>
    </row>
    <row r="6">
      <c r="A6" s="0" t="inlineStr">
        <is>
          <t>Air temperature at calibration (C)</t>
        </is>
      </c>
      <c r="B6" s="3"/>
      <c r="D6" s="6" t="inlineStr">
        <is>
          <t>Measure with a thermometer, 0.1 C resolution is plenty</t>
        </is>
      </c>
    </row>
    <row r="7">
      <c r="A7" s="8" t="inlineStr">
        <is>
          <t>Reference DO at 100% saturation (mg/L)</t>
        </is>
      </c>
      <c r="B7" s="5">
        <f>IF($B$6="","",VLOOKUP($B$6,'Sat Table'!$A$3:$B$403,2,TRUE))</f>
      </c>
      <c r="D7" s="6" t="inlineStr">
        <is>
          <t>Looked up automatically from the Sat Table tab</t>
        </is>
      </c>
    </row>
    <row r="9">
      <c r="A9" s="4" t="inlineStr">
        <is>
          <t>STEP 2  -  MEASURE THE TWO VOLTAGES</t>
        </is>
      </c>
    </row>
    <row r="10">
      <c r="A10" s="2" t="inlineStr">
        <is>
          <t>Reference point</t>
        </is>
      </c>
      <c r="B10" s="2" t="inlineStr">
        <is>
          <t>Known DO</t>
        </is>
      </c>
      <c r="C10" s="2" t="inlineStr">
        <is>
          <t>Voltage (V)</t>
        </is>
      </c>
    </row>
    <row r="11">
      <c r="A11" s="0" t="inlineStr">
        <is>
          <t>Sodium sulfite - zero solution</t>
        </is>
      </c>
      <c r="B11" s="5">
        <v>0</v>
      </c>
      <c r="C11" s="3"/>
    </row>
    <row r="12">
      <c r="A12" s="0" t="inlineStr">
        <is>
          <t>Probe in air (100% saturation)</t>
        </is>
      </c>
      <c r="B12" s="5">
        <f>IF($B$7="","",$B$7)</f>
      </c>
      <c r="C12" s="3"/>
    </row>
    <row r="13">
      <c r="A13" s="6" t="inlineStr">
        <is>
          <t>Let the probe settle 2 minutes at each point. Read the voltage from the [DO CAL] line in the Serial Monitor.</t>
        </is>
      </c>
    </row>
    <row r="15">
      <c r="A15" s="4" t="inlineStr">
        <is>
          <t>STEP 3  -  RESULT</t>
        </is>
      </c>
    </row>
    <row r="16">
      <c r="A16" s="8" t="inlineStr">
        <is>
          <t>Slope (mg/L per volt)</t>
        </is>
      </c>
      <c r="B16" s="5">
        <f>IF(OR($C$11="",$C$12="",$C$12=$C$11),"",($B$12-$B$11)/($C$12-$C$11))</f>
      </c>
    </row>
    <row r="17">
      <c r="A17" s="8" t="inlineStr">
        <is>
          <t>Zero offset (V)</t>
        </is>
      </c>
      <c r="B17" s="5">
        <f>IF($C$11="","",$C$11)</f>
      </c>
    </row>
    <row r="19">
      <c r="A19" s="4" t="inlineStr">
        <is>
          <t>PASTE THIS INTO oxyfeeder_firmware.ino</t>
        </is>
      </c>
    </row>
    <row r="20">
      <c r="A20" s="5">
        <f>IF($B$16="","Fill in the cells above first.","const float DO_ZERO_VOLTAGE = "&amp;TEXT($C$11,"0.000")&amp;";")</f>
      </c>
    </row>
    <row r="21">
      <c r="A21" s="5">
        <f>IF($B$16="","","const float DO_SLOPE = "&amp;TEXT($B$16,"0.000")&amp;";   // mg/L per volt")</f>
      </c>
    </row>
    <row r="22">
      <c r="A22" s="5">
        <f>IF($B$16="","","// DO = (voltage - DO_ZERO_VOLTAGE) * DO_SLOPE")</f>
      </c>
    </row>
    <row r="24">
      <c r="A24" s="4" t="inlineStr">
        <is>
          <t>SANITY CHECK</t>
        </is>
      </c>
    </row>
    <row r="25">
      <c r="A25" s="0" t="inlineStr">
        <is>
          <t>Type any voltage to see what DO it gives</t>
        </is>
      </c>
      <c r="B25" s="3"/>
    </row>
    <row r="26">
      <c r="A26" s="8" t="inlineStr">
        <is>
          <t>Resulting DO (mg/L)</t>
        </is>
      </c>
      <c r="B26" s="5">
        <f>IF(OR($B$25="",$B$16=""),"",ROUND(($B$25-$C$11)*$B$16,2))</f>
      </c>
    </row>
    <row r="27">
      <c r="A27" s="6" t="inlineStr">
        <is>
          <t>Put your zero voltage in and you should get 0.00. Put your air voltage in and you should get the reference value.</t>
        </is>
      </c>
    </row>
    <row r="29">
      <c r="A29" s="4" t="inlineStr">
        <is>
          <t>NOTES</t>
        </is>
      </c>
    </row>
    <row r="30">
      <c r="A30" s="6" t="inlineStr">
        <is>
          <t>Air calibration works because water-saturated air has the same oxygen partial pressure as water at 100% saturation.</t>
        </is>
      </c>
    </row>
    <row r="31">
      <c r="A31" s="6" t="inlineStr">
        <is>
          <t>The mg/L value for 100% saturation depends on TEMPERATURE - that is why step 1 exists. There is no temperature-free reference.</t>
        </is>
      </c>
    </row>
    <row r="32">
      <c r="A32" s="6" t="inlineStr">
        <is>
          <t>At 26-32 C the reference lands between 7.3 and 8.1 mg/L. A value near 13.5 mg/L belongs to water at about 3 C.</t>
        </is>
      </c>
    </row>
    <row r="33">
      <c r="A33" s="6" t="inlineStr">
        <is>
          <t>This firmware does no temperature compensation, so readings taken far from the calibration temperature carry some error. State that as a limitation.</t>
        </is>
      </c>
    </row>
    <row r="34">
      <c r="A34" s="6" t="inlineStr">
        <is>
          <t>Mix the sulfite solution fresh each session - once its oxygen is consumed it stops reading zero.</t>
        </is>
      </c>
    </row>
  </sheetData>
</worksheet>
</file>

<file path=xl/worksheets/sheet2.xml><?xml version="1.0" encoding="utf-8"?>
<worksheet xmlns="http://schemas.openxmlformats.org/spreadsheetml/2006/main">
  <cols>
    <col min="1" max="1" width="12" customWidth="1"/>
    <col min="2" max="2" width="18" customWidth="1"/>
    <col min="3" max="3" width="4" customWidth="1"/>
    <col min="4" max="4" width="70" customWidth="1"/>
  </cols>
  <sheetData>
    <row r="1">
      <c r="A1" s="1" t="inlineStr">
        <is>
          <t>DO SATURATION TABLE</t>
        </is>
      </c>
      <c r="D1" s="6" t="inlineStr">
        <is>
          <t>Freshwater, sea level (760 mmHg). Do not edit - other sheets look values up here.</t>
        </is>
      </c>
    </row>
    <row r="2">
      <c r="A2" s="2" t="inlineStr">
        <is>
          <t>Temp (C)</t>
        </is>
      </c>
      <c r="B2" s="2" t="inlineStr">
        <is>
          <t>DO at 100% sat (mg/L)</t>
        </is>
      </c>
      <c r="D2" s="6" t="inlineStr">
        <is>
          <t>Source: standard oxygen solubility tables, 0.1 C resolution.</t>
        </is>
      </c>
    </row>
    <row r="3">
      <c r="A3" s="0">
        <v>0.0</v>
      </c>
      <c r="B3" s="0">
        <v>14.62</v>
      </c>
    </row>
    <row r="4">
      <c r="A4" s="0">
        <v>0.1</v>
      </c>
      <c r="B4" s="0">
        <v>14.58</v>
      </c>
    </row>
    <row r="5">
      <c r="A5" s="0">
        <v>0.2</v>
      </c>
      <c r="B5" s="0">
        <v>14.54</v>
      </c>
    </row>
    <row r="6">
      <c r="A6" s="0">
        <v>0.3</v>
      </c>
      <c r="B6" s="0">
        <v>14.50</v>
      </c>
    </row>
    <row r="7">
      <c r="A7" s="0">
        <v>0.4</v>
      </c>
      <c r="B7" s="0">
        <v>14.46</v>
      </c>
    </row>
    <row r="8">
      <c r="A8" s="0">
        <v>0.5</v>
      </c>
      <c r="B8" s="0">
        <v>14.42</v>
      </c>
    </row>
    <row r="9">
      <c r="A9" s="0">
        <v>0.6</v>
      </c>
      <c r="B9" s="0">
        <v>14.38</v>
      </c>
    </row>
    <row r="10">
      <c r="A10" s="0">
        <v>0.7</v>
      </c>
      <c r="B10" s="0">
        <v>14.34</v>
      </c>
    </row>
    <row r="11">
      <c r="A11" s="0">
        <v>0.8</v>
      </c>
      <c r="B11" s="0">
        <v>14.30</v>
      </c>
    </row>
    <row r="12">
      <c r="A12" s="0">
        <v>0.9</v>
      </c>
      <c r="B12" s="0">
        <v>14.26</v>
      </c>
    </row>
    <row r="13">
      <c r="A13" s="0">
        <v>1.0</v>
      </c>
      <c r="B13" s="0">
        <v>14.22</v>
      </c>
    </row>
    <row r="14">
      <c r="A14" s="0">
        <v>1.1</v>
      </c>
      <c r="B14" s="0">
        <v>14.18</v>
      </c>
    </row>
    <row r="15">
      <c r="A15" s="0">
        <v>1.2</v>
      </c>
      <c r="B15" s="0">
        <v>14.14</v>
      </c>
    </row>
    <row r="16">
      <c r="A16" s="0">
        <v>1.3</v>
      </c>
      <c r="B16" s="0">
        <v>14.10</v>
      </c>
    </row>
    <row r="17">
      <c r="A17" s="0">
        <v>1.4</v>
      </c>
      <c r="B17" s="0">
        <v>14.06</v>
      </c>
    </row>
    <row r="18">
      <c r="A18" s="0">
        <v>1.5</v>
      </c>
      <c r="B18" s="0">
        <v>14.03</v>
      </c>
    </row>
    <row r="19">
      <c r="A19" s="0">
        <v>1.6</v>
      </c>
      <c r="B19" s="0">
        <v>13.99</v>
      </c>
    </row>
    <row r="20">
      <c r="A20" s="0">
        <v>1.7</v>
      </c>
      <c r="B20" s="0">
        <v>13.95</v>
      </c>
    </row>
    <row r="21">
      <c r="A21" s="0">
        <v>1.8</v>
      </c>
      <c r="B21" s="0">
        <v>13.91</v>
      </c>
    </row>
    <row r="22">
      <c r="A22" s="0">
        <v>1.9</v>
      </c>
      <c r="B22" s="0">
        <v>13.87</v>
      </c>
    </row>
    <row r="23">
      <c r="A23" s="0">
        <v>2.0</v>
      </c>
      <c r="B23" s="0">
        <v>13.83</v>
      </c>
    </row>
    <row r="24">
      <c r="A24" s="0">
        <v>2.1</v>
      </c>
      <c r="B24" s="0">
        <v>13.79</v>
      </c>
    </row>
    <row r="25">
      <c r="A25" s="0">
        <v>2.2</v>
      </c>
      <c r="B25" s="0">
        <v>13.76</v>
      </c>
    </row>
    <row r="26">
      <c r="A26" s="0">
        <v>2.3</v>
      </c>
      <c r="B26" s="0">
        <v>13.72</v>
      </c>
    </row>
    <row r="27">
      <c r="A27" s="0">
        <v>2.4</v>
      </c>
      <c r="B27" s="0">
        <v>13.68</v>
      </c>
    </row>
    <row r="28">
      <c r="A28" s="0">
        <v>2.5</v>
      </c>
      <c r="B28" s="0">
        <v>13.64</v>
      </c>
    </row>
    <row r="29">
      <c r="A29" s="0">
        <v>2.6</v>
      </c>
      <c r="B29" s="0">
        <v>13.61</v>
      </c>
    </row>
    <row r="30">
      <c r="A30" s="0">
        <v>2.7</v>
      </c>
      <c r="B30" s="0">
        <v>13.57</v>
      </c>
    </row>
    <row r="31">
      <c r="A31" s="0">
        <v>2.8</v>
      </c>
      <c r="B31" s="0">
        <v>13.53</v>
      </c>
    </row>
    <row r="32">
      <c r="A32" s="0">
        <v>2.9</v>
      </c>
      <c r="B32" s="0">
        <v>13.50</v>
      </c>
    </row>
    <row r="33">
      <c r="A33" s="0">
        <v>3.0</v>
      </c>
      <c r="B33" s="0">
        <v>13.46</v>
      </c>
    </row>
    <row r="34">
      <c r="A34" s="0">
        <v>3.1</v>
      </c>
      <c r="B34" s="0">
        <v>13.43</v>
      </c>
    </row>
    <row r="35">
      <c r="A35" s="0">
        <v>3.2</v>
      </c>
      <c r="B35" s="0">
        <v>13.39</v>
      </c>
    </row>
    <row r="36">
      <c r="A36" s="0">
        <v>3.3</v>
      </c>
      <c r="B36" s="0">
        <v>13.36</v>
      </c>
    </row>
    <row r="37">
      <c r="A37" s="0">
        <v>3.4</v>
      </c>
      <c r="B37" s="0">
        <v>13.32</v>
      </c>
    </row>
    <row r="38">
      <c r="A38" s="0">
        <v>3.5</v>
      </c>
      <c r="B38" s="0">
        <v>13.29</v>
      </c>
    </row>
    <row r="39">
      <c r="A39" s="0">
        <v>3.6</v>
      </c>
      <c r="B39" s="0">
        <v>13.25</v>
      </c>
    </row>
    <row r="40">
      <c r="A40" s="0">
        <v>3.7</v>
      </c>
      <c r="B40" s="0">
        <v>13.21</v>
      </c>
    </row>
    <row r="41">
      <c r="A41" s="0">
        <v>3.8</v>
      </c>
      <c r="B41" s="0">
        <v>13.18</v>
      </c>
    </row>
    <row r="42">
      <c r="A42" s="0">
        <v>3.9</v>
      </c>
      <c r="B42" s="0">
        <v>13.14</v>
      </c>
    </row>
    <row r="43">
      <c r="A43" s="0">
        <v>4.0</v>
      </c>
      <c r="B43" s="0">
        <v>13.11</v>
      </c>
    </row>
    <row r="44">
      <c r="A44" s="0">
        <v>4.1</v>
      </c>
      <c r="B44" s="0">
        <v>13.08</v>
      </c>
    </row>
    <row r="45">
      <c r="A45" s="0">
        <v>4.2</v>
      </c>
      <c r="B45" s="0">
        <v>13.04</v>
      </c>
    </row>
    <row r="46">
      <c r="A46" s="0">
        <v>4.3</v>
      </c>
      <c r="B46" s="0">
        <v>13.01</v>
      </c>
    </row>
    <row r="47">
      <c r="A47" s="0">
        <v>4.4</v>
      </c>
      <c r="B47" s="0">
        <v>12.97</v>
      </c>
    </row>
    <row r="48">
      <c r="A48" s="0">
        <v>4.5</v>
      </c>
      <c r="B48" s="0">
        <v>12.94</v>
      </c>
    </row>
    <row r="49">
      <c r="A49" s="0">
        <v>4.6</v>
      </c>
      <c r="B49" s="0">
        <v>12.91</v>
      </c>
    </row>
    <row r="50">
      <c r="A50" s="0">
        <v>4.7</v>
      </c>
      <c r="B50" s="0">
        <v>12.87</v>
      </c>
    </row>
    <row r="51">
      <c r="A51" s="0">
        <v>4.8</v>
      </c>
      <c r="B51" s="0">
        <v>12.84</v>
      </c>
    </row>
    <row r="52">
      <c r="A52" s="0">
        <v>4.9</v>
      </c>
      <c r="B52" s="0">
        <v>12.80</v>
      </c>
    </row>
    <row r="53">
      <c r="A53" s="0">
        <v>5.0</v>
      </c>
      <c r="B53" s="0">
        <v>12.77</v>
      </c>
    </row>
    <row r="54">
      <c r="A54" s="0">
        <v>5.1</v>
      </c>
      <c r="B54" s="0">
        <v>12.74</v>
      </c>
    </row>
    <row r="55">
      <c r="A55" s="0">
        <v>5.2</v>
      </c>
      <c r="B55" s="0">
        <v>12.71</v>
      </c>
    </row>
    <row r="56">
      <c r="A56" s="0">
        <v>5.3</v>
      </c>
      <c r="B56" s="0">
        <v>12.67</v>
      </c>
    </row>
    <row r="57">
      <c r="A57" s="0">
        <v>5.4</v>
      </c>
      <c r="B57" s="0">
        <v>12.64</v>
      </c>
    </row>
    <row r="58">
      <c r="A58" s="0">
        <v>5.5</v>
      </c>
      <c r="B58" s="0">
        <v>12.61</v>
      </c>
    </row>
    <row r="59">
      <c r="A59" s="0">
        <v>5.6</v>
      </c>
      <c r="B59" s="0">
        <v>12.58</v>
      </c>
    </row>
    <row r="60">
      <c r="A60" s="0">
        <v>5.7</v>
      </c>
      <c r="B60" s="0">
        <v>12.55</v>
      </c>
    </row>
    <row r="61">
      <c r="A61" s="0">
        <v>5.8</v>
      </c>
      <c r="B61" s="0">
        <v>12.51</v>
      </c>
    </row>
    <row r="62">
      <c r="A62" s="0">
        <v>5.9</v>
      </c>
      <c r="B62" s="0">
        <v>12.48</v>
      </c>
    </row>
    <row r="63">
      <c r="A63" s="0">
        <v>6.0</v>
      </c>
      <c r="B63" s="0">
        <v>12.45</v>
      </c>
    </row>
    <row r="64">
      <c r="A64" s="0">
        <v>6.1</v>
      </c>
      <c r="B64" s="0">
        <v>12.42</v>
      </c>
    </row>
    <row r="65">
      <c r="A65" s="0">
        <v>6.2</v>
      </c>
      <c r="B65" s="0">
        <v>12.39</v>
      </c>
    </row>
    <row r="66">
      <c r="A66" s="0">
        <v>6.3</v>
      </c>
      <c r="B66" s="0">
        <v>12.36</v>
      </c>
    </row>
    <row r="67">
      <c r="A67" s="0">
        <v>6.4</v>
      </c>
      <c r="B67" s="0">
        <v>12.33</v>
      </c>
    </row>
    <row r="68">
      <c r="A68" s="0">
        <v>6.5</v>
      </c>
      <c r="B68" s="0">
        <v>12.29</v>
      </c>
    </row>
    <row r="69">
      <c r="A69" s="0">
        <v>6.6</v>
      </c>
      <c r="B69" s="0">
        <v>12.26</v>
      </c>
    </row>
    <row r="70">
      <c r="A70" s="0">
        <v>6.7</v>
      </c>
      <c r="B70" s="0">
        <v>12.23</v>
      </c>
    </row>
    <row r="71">
      <c r="A71" s="0">
        <v>6.8</v>
      </c>
      <c r="B71" s="0">
        <v>12.20</v>
      </c>
    </row>
    <row r="72">
      <c r="A72" s="0">
        <v>6.9</v>
      </c>
      <c r="B72" s="0">
        <v>12.17</v>
      </c>
    </row>
    <row r="73">
      <c r="A73" s="0">
        <v>7.0</v>
      </c>
      <c r="B73" s="0">
        <v>12.14</v>
      </c>
    </row>
    <row r="74">
      <c r="A74" s="0">
        <v>7.1</v>
      </c>
      <c r="B74" s="0">
        <v>12.11</v>
      </c>
    </row>
    <row r="75">
      <c r="A75" s="0">
        <v>7.2</v>
      </c>
      <c r="B75" s="0">
        <v>12.08</v>
      </c>
    </row>
    <row r="76">
      <c r="A76" s="0">
        <v>7.3</v>
      </c>
      <c r="B76" s="0">
        <v>12.05</v>
      </c>
    </row>
    <row r="77">
      <c r="A77" s="0">
        <v>7.4</v>
      </c>
      <c r="B77" s="0">
        <v>12.02</v>
      </c>
    </row>
    <row r="78">
      <c r="A78" s="0">
        <v>7.5</v>
      </c>
      <c r="B78" s="0">
        <v>11.99</v>
      </c>
    </row>
    <row r="79">
      <c r="A79" s="0">
        <v>7.6</v>
      </c>
      <c r="B79" s="0">
        <v>11.96</v>
      </c>
    </row>
    <row r="80">
      <c r="A80" s="0">
        <v>7.7</v>
      </c>
      <c r="B80" s="0">
        <v>11.93</v>
      </c>
    </row>
    <row r="81">
      <c r="A81" s="0">
        <v>7.8</v>
      </c>
      <c r="B81" s="0">
        <v>11.90</v>
      </c>
    </row>
    <row r="82">
      <c r="A82" s="0">
        <v>7.9</v>
      </c>
      <c r="B82" s="0">
        <v>11.87</v>
      </c>
    </row>
    <row r="83">
      <c r="A83" s="0">
        <v>8.0</v>
      </c>
      <c r="B83" s="0">
        <v>11.84</v>
      </c>
    </row>
    <row r="84">
      <c r="A84" s="0">
        <v>8.1</v>
      </c>
      <c r="B84" s="0">
        <v>11.81</v>
      </c>
    </row>
    <row r="85">
      <c r="A85" s="0">
        <v>8.2</v>
      </c>
      <c r="B85" s="0">
        <v>11.78</v>
      </c>
    </row>
    <row r="86">
      <c r="A86" s="0">
        <v>8.3</v>
      </c>
      <c r="B86" s="0">
        <v>11.76</v>
      </c>
    </row>
    <row r="87">
      <c r="A87" s="0">
        <v>8.4</v>
      </c>
      <c r="B87" s="0">
        <v>11.73</v>
      </c>
    </row>
    <row r="88">
      <c r="A88" s="0">
        <v>8.5</v>
      </c>
      <c r="B88" s="0">
        <v>11.70</v>
      </c>
    </row>
    <row r="89">
      <c r="A89" s="0">
        <v>8.6</v>
      </c>
      <c r="B89" s="0">
        <v>11.67</v>
      </c>
    </row>
    <row r="90">
      <c r="A90" s="0">
        <v>8.7</v>
      </c>
      <c r="B90" s="0">
        <v>11.64</v>
      </c>
    </row>
    <row r="91">
      <c r="A91" s="0">
        <v>8.8</v>
      </c>
      <c r="B91" s="0">
        <v>11.62</v>
      </c>
    </row>
    <row r="92">
      <c r="A92" s="0">
        <v>8.9</v>
      </c>
      <c r="B92" s="0">
        <v>11.59</v>
      </c>
    </row>
    <row r="93">
      <c r="A93" s="0">
        <v>9.0</v>
      </c>
      <c r="B93" s="0">
        <v>11.56</v>
      </c>
    </row>
    <row r="94">
      <c r="A94" s="0">
        <v>9.1</v>
      </c>
      <c r="B94" s="0">
        <v>11.53</v>
      </c>
    </row>
    <row r="95">
      <c r="A95" s="0">
        <v>9.2</v>
      </c>
      <c r="B95" s="0">
        <v>11.51</v>
      </c>
    </row>
    <row r="96">
      <c r="A96" s="0">
        <v>9.3</v>
      </c>
      <c r="B96" s="0">
        <v>11.48</v>
      </c>
    </row>
    <row r="97">
      <c r="A97" s="0">
        <v>9.4</v>
      </c>
      <c r="B97" s="0">
        <v>11.45</v>
      </c>
    </row>
    <row r="98">
      <c r="A98" s="0">
        <v>9.5</v>
      </c>
      <c r="B98" s="0">
        <v>11.43</v>
      </c>
    </row>
    <row r="99">
      <c r="A99" s="0">
        <v>9.6</v>
      </c>
      <c r="B99" s="0">
        <v>11.40</v>
      </c>
    </row>
    <row r="100">
      <c r="A100" s="0">
        <v>9.7</v>
      </c>
      <c r="B100" s="0">
        <v>11.37</v>
      </c>
    </row>
    <row r="101">
      <c r="A101" s="0">
        <v>9.8</v>
      </c>
      <c r="B101" s="0">
        <v>11.34</v>
      </c>
    </row>
    <row r="102">
      <c r="A102" s="0">
        <v>9.9</v>
      </c>
      <c r="B102" s="0">
        <v>11.32</v>
      </c>
    </row>
    <row r="103">
      <c r="A103" s="0">
        <v>10.0</v>
      </c>
      <c r="B103" s="0">
        <v>11.29</v>
      </c>
    </row>
    <row r="104">
      <c r="A104" s="0">
        <v>10.1</v>
      </c>
      <c r="B104" s="0">
        <v>11.26</v>
      </c>
    </row>
    <row r="105">
      <c r="A105" s="0">
        <v>10.2</v>
      </c>
      <c r="B105" s="0">
        <v>11.24</v>
      </c>
    </row>
    <row r="106">
      <c r="A106" s="0">
        <v>10.3</v>
      </c>
      <c r="B106" s="0">
        <v>11.21</v>
      </c>
    </row>
    <row r="107">
      <c r="A107" s="0">
        <v>10.4</v>
      </c>
      <c r="B107" s="0">
        <v>11.19</v>
      </c>
    </row>
    <row r="108">
      <c r="A108" s="0">
        <v>10.5</v>
      </c>
      <c r="B108" s="0">
        <v>11.16</v>
      </c>
    </row>
    <row r="109">
      <c r="A109" s="0">
        <v>10.6</v>
      </c>
      <c r="B109" s="0">
        <v>11.13</v>
      </c>
    </row>
    <row r="110">
      <c r="A110" s="0">
        <v>10.7</v>
      </c>
      <c r="B110" s="0">
        <v>11.11</v>
      </c>
    </row>
    <row r="111">
      <c r="A111" s="0">
        <v>10.8</v>
      </c>
      <c r="B111" s="0">
        <v>11.08</v>
      </c>
    </row>
    <row r="112">
      <c r="A112" s="0">
        <v>10.9</v>
      </c>
      <c r="B112" s="0">
        <v>11.06</v>
      </c>
    </row>
    <row r="113">
      <c r="A113" s="0">
        <v>11.0</v>
      </c>
      <c r="B113" s="0">
        <v>11.03</v>
      </c>
    </row>
    <row r="114">
      <c r="A114" s="0">
        <v>11.1</v>
      </c>
      <c r="B114" s="0">
        <v>11.00</v>
      </c>
    </row>
    <row r="115">
      <c r="A115" s="0">
        <v>11.2</v>
      </c>
      <c r="B115" s="0">
        <v>10.98</v>
      </c>
    </row>
    <row r="116">
      <c r="A116" s="0">
        <v>11.3</v>
      </c>
      <c r="B116" s="0">
        <v>10.95</v>
      </c>
    </row>
    <row r="117">
      <c r="A117" s="0">
        <v>11.4</v>
      </c>
      <c r="B117" s="0">
        <v>10.93</v>
      </c>
    </row>
    <row r="118">
      <c r="A118" s="0">
        <v>11.5</v>
      </c>
      <c r="B118" s="0">
        <v>10.90</v>
      </c>
    </row>
    <row r="119">
      <c r="A119" s="0">
        <v>11.6</v>
      </c>
      <c r="B119" s="0">
        <v>10.88</v>
      </c>
    </row>
    <row r="120">
      <c r="A120" s="0">
        <v>11.7</v>
      </c>
      <c r="B120" s="0">
        <v>10.86</v>
      </c>
    </row>
    <row r="121">
      <c r="A121" s="0">
        <v>11.8</v>
      </c>
      <c r="B121" s="0">
        <v>10.83</v>
      </c>
    </row>
    <row r="122">
      <c r="A122" s="0">
        <v>11.9</v>
      </c>
      <c r="B122" s="0">
        <v>10.80</v>
      </c>
    </row>
    <row r="123">
      <c r="A123" s="0">
        <v>12.0</v>
      </c>
      <c r="B123" s="0">
        <v>10.78</v>
      </c>
    </row>
    <row r="124">
      <c r="A124" s="0">
        <v>12.1</v>
      </c>
      <c r="B124" s="0">
        <v>10.76</v>
      </c>
    </row>
    <row r="125">
      <c r="A125" s="0">
        <v>12.2</v>
      </c>
      <c r="B125" s="0">
        <v>10.73</v>
      </c>
    </row>
    <row r="126">
      <c r="A126" s="0">
        <v>12.3</v>
      </c>
      <c r="B126" s="0">
        <v>10.71</v>
      </c>
    </row>
    <row r="127">
      <c r="A127" s="0">
        <v>12.4</v>
      </c>
      <c r="B127" s="0">
        <v>10.68</v>
      </c>
    </row>
    <row r="128">
      <c r="A128" s="0">
        <v>12.5</v>
      </c>
      <c r="B128" s="0">
        <v>10.66</v>
      </c>
    </row>
    <row r="129">
      <c r="A129" s="0">
        <v>12.6</v>
      </c>
      <c r="B129" s="0">
        <v>10.64</v>
      </c>
    </row>
    <row r="130">
      <c r="A130" s="0">
        <v>12.7</v>
      </c>
      <c r="B130" s="0">
        <v>10.61</v>
      </c>
    </row>
    <row r="131">
      <c r="A131" s="0">
        <v>12.8</v>
      </c>
      <c r="B131" s="0">
        <v>10.59</v>
      </c>
    </row>
    <row r="132">
      <c r="A132" s="0">
        <v>12.9</v>
      </c>
      <c r="B132" s="0">
        <v>10.56</v>
      </c>
    </row>
    <row r="133">
      <c r="A133" s="0">
        <v>13.0</v>
      </c>
      <c r="B133" s="0">
        <v>10.54</v>
      </c>
    </row>
    <row r="134">
      <c r="A134" s="0">
        <v>13.1</v>
      </c>
      <c r="B134" s="0">
        <v>10.52</v>
      </c>
    </row>
    <row r="135">
      <c r="A135" s="0">
        <v>13.2</v>
      </c>
      <c r="B135" s="0">
        <v>10.49</v>
      </c>
    </row>
    <row r="136">
      <c r="A136" s="0">
        <v>13.3</v>
      </c>
      <c r="B136" s="0">
        <v>10.47</v>
      </c>
    </row>
    <row r="137">
      <c r="A137" s="0">
        <v>13.4</v>
      </c>
      <c r="B137" s="0">
        <v>10.45</v>
      </c>
    </row>
    <row r="138">
      <c r="A138" s="0">
        <v>13.5</v>
      </c>
      <c r="B138" s="0">
        <v>10.43</v>
      </c>
    </row>
    <row r="139">
      <c r="A139" s="0">
        <v>13.6</v>
      </c>
      <c r="B139" s="0">
        <v>10.40</v>
      </c>
    </row>
    <row r="140">
      <c r="A140" s="0">
        <v>13.7</v>
      </c>
      <c r="B140" s="0">
        <v>10.38</v>
      </c>
    </row>
    <row r="141">
      <c r="A141" s="0">
        <v>13.8</v>
      </c>
      <c r="B141" s="0">
        <v>10.36</v>
      </c>
    </row>
    <row r="142">
      <c r="A142" s="0">
        <v>13.9</v>
      </c>
      <c r="B142" s="0">
        <v>10.33</v>
      </c>
    </row>
    <row r="143">
      <c r="A143" s="0">
        <v>14.0</v>
      </c>
      <c r="B143" s="0">
        <v>10.31</v>
      </c>
    </row>
    <row r="144">
      <c r="A144" s="0">
        <v>14.1</v>
      </c>
      <c r="B144" s="0">
        <v>10.29</v>
      </c>
    </row>
    <row r="145">
      <c r="A145" s="0">
        <v>14.2</v>
      </c>
      <c r="B145" s="0">
        <v>10.26</v>
      </c>
    </row>
    <row r="146">
      <c r="A146" s="0">
        <v>14.3</v>
      </c>
      <c r="B146" s="0">
        <v>10.24</v>
      </c>
    </row>
    <row r="147">
      <c r="A147" s="0">
        <v>14.4</v>
      </c>
      <c r="B147" s="0">
        <v>10.22</v>
      </c>
    </row>
    <row r="148">
      <c r="A148" s="0">
        <v>14.5</v>
      </c>
      <c r="B148" s="0">
        <v>10.20</v>
      </c>
    </row>
    <row r="149">
      <c r="A149" s="0">
        <v>14.6</v>
      </c>
      <c r="B149" s="0">
        <v>10.17</v>
      </c>
    </row>
    <row r="150">
      <c r="A150" s="0">
        <v>14.7</v>
      </c>
      <c r="B150" s="0">
        <v>10.15</v>
      </c>
    </row>
    <row r="151">
      <c r="A151" s="0">
        <v>14.8</v>
      </c>
      <c r="B151" s="0">
        <v>10.13</v>
      </c>
    </row>
    <row r="152">
      <c r="A152" s="0">
        <v>14.9</v>
      </c>
      <c r="B152" s="0">
        <v>10.10</v>
      </c>
    </row>
    <row r="153">
      <c r="A153" s="0">
        <v>15.0</v>
      </c>
      <c r="B153" s="0">
        <v>10.08</v>
      </c>
    </row>
    <row r="154">
      <c r="A154" s="0">
        <v>15.1</v>
      </c>
      <c r="B154" s="0">
        <v>10.06</v>
      </c>
    </row>
    <row r="155">
      <c r="A155" s="0">
        <v>15.2</v>
      </c>
      <c r="B155" s="0">
        <v>10.04</v>
      </c>
    </row>
    <row r="156">
      <c r="A156" s="0">
        <v>15.3</v>
      </c>
      <c r="B156" s="0">
        <v>10.02</v>
      </c>
    </row>
    <row r="157">
      <c r="A157" s="0">
        <v>15.4</v>
      </c>
      <c r="B157" s="0">
        <v>10.00</v>
      </c>
    </row>
    <row r="158">
      <c r="A158" s="0">
        <v>15.5</v>
      </c>
      <c r="B158" s="0">
        <v>9.97</v>
      </c>
    </row>
    <row r="159">
      <c r="A159" s="0">
        <v>15.6</v>
      </c>
      <c r="B159" s="0">
        <v>9.95</v>
      </c>
    </row>
    <row r="160">
      <c r="A160" s="0">
        <v>15.7</v>
      </c>
      <c r="B160" s="0">
        <v>9.93</v>
      </c>
    </row>
    <row r="161">
      <c r="A161" s="0">
        <v>15.8</v>
      </c>
      <c r="B161" s="0">
        <v>9.91</v>
      </c>
    </row>
    <row r="162">
      <c r="A162" s="0">
        <v>15.9</v>
      </c>
      <c r="B162" s="0">
        <v>9.89</v>
      </c>
    </row>
    <row r="163">
      <c r="A163" s="0">
        <v>16.0</v>
      </c>
      <c r="B163" s="0">
        <v>9.87</v>
      </c>
    </row>
    <row r="164">
      <c r="A164" s="0">
        <v>16.1</v>
      </c>
      <c r="B164" s="0">
        <v>9.85</v>
      </c>
    </row>
    <row r="165">
      <c r="A165" s="0">
        <v>16.2</v>
      </c>
      <c r="B165" s="0">
        <v>9.83</v>
      </c>
    </row>
    <row r="166">
      <c r="A166" s="0">
        <v>16.3</v>
      </c>
      <c r="B166" s="0">
        <v>9.81</v>
      </c>
    </row>
    <row r="167">
      <c r="A167" s="0">
        <v>16.4</v>
      </c>
      <c r="B167" s="0">
        <v>9.79</v>
      </c>
    </row>
    <row r="168">
      <c r="A168" s="0">
        <v>16.5</v>
      </c>
      <c r="B168" s="0">
        <v>9.77</v>
      </c>
    </row>
    <row r="169">
      <c r="A169" s="0">
        <v>16.6</v>
      </c>
      <c r="B169" s="0">
        <v>9.74</v>
      </c>
    </row>
    <row r="170">
      <c r="A170" s="0">
        <v>16.7</v>
      </c>
      <c r="B170" s="0">
        <v>9.72</v>
      </c>
    </row>
    <row r="171">
      <c r="A171" s="0">
        <v>16.8</v>
      </c>
      <c r="B171" s="0">
        <v>9.70</v>
      </c>
    </row>
    <row r="172">
      <c r="A172" s="0">
        <v>16.9</v>
      </c>
      <c r="B172" s="0">
        <v>9.68</v>
      </c>
    </row>
    <row r="173">
      <c r="A173" s="0">
        <v>17.0</v>
      </c>
      <c r="B173" s="0">
        <v>9.66</v>
      </c>
    </row>
    <row r="174">
      <c r="A174" s="0">
        <v>17.1</v>
      </c>
      <c r="B174" s="0">
        <v>9.64</v>
      </c>
    </row>
    <row r="175">
      <c r="A175" s="0">
        <v>17.2</v>
      </c>
      <c r="B175" s="0">
        <v>9.62</v>
      </c>
    </row>
    <row r="176">
      <c r="A176" s="0">
        <v>17.3</v>
      </c>
      <c r="B176" s="0">
        <v>9.60</v>
      </c>
    </row>
    <row r="177">
      <c r="A177" s="0">
        <v>17.4</v>
      </c>
      <c r="B177" s="0">
        <v>9.58</v>
      </c>
    </row>
    <row r="178">
      <c r="A178" s="0">
        <v>17.5</v>
      </c>
      <c r="B178" s="0">
        <v>9.57</v>
      </c>
    </row>
    <row r="179">
      <c r="A179" s="0">
        <v>17.6</v>
      </c>
      <c r="B179" s="0">
        <v>9.55</v>
      </c>
    </row>
    <row r="180">
      <c r="A180" s="0">
        <v>17.7</v>
      </c>
      <c r="B180" s="0">
        <v>9.53</v>
      </c>
    </row>
    <row r="181">
      <c r="A181" s="0">
        <v>17.8</v>
      </c>
      <c r="B181" s="0">
        <v>9.51</v>
      </c>
    </row>
    <row r="182">
      <c r="A182" s="0">
        <v>17.9</v>
      </c>
      <c r="B182" s="0">
        <v>9.49</v>
      </c>
    </row>
    <row r="183">
      <c r="A183" s="0">
        <v>18.0</v>
      </c>
      <c r="B183" s="0">
        <v>9.47</v>
      </c>
    </row>
    <row r="184">
      <c r="A184" s="0">
        <v>18.1</v>
      </c>
      <c r="B184" s="0">
        <v>9.45</v>
      </c>
    </row>
    <row r="185">
      <c r="A185" s="0">
        <v>18.2</v>
      </c>
      <c r="B185" s="0">
        <v>9.43</v>
      </c>
    </row>
    <row r="186">
      <c r="A186" s="0">
        <v>18.3</v>
      </c>
      <c r="B186" s="0">
        <v>9.41</v>
      </c>
    </row>
    <row r="187">
      <c r="A187" s="0">
        <v>18.4</v>
      </c>
      <c r="B187" s="0">
        <v>9.39</v>
      </c>
    </row>
    <row r="188">
      <c r="A188" s="0">
        <v>18.5</v>
      </c>
      <c r="B188" s="0">
        <v>9.38</v>
      </c>
    </row>
    <row r="189">
      <c r="A189" s="0">
        <v>18.6</v>
      </c>
      <c r="B189" s="0">
        <v>9.36</v>
      </c>
    </row>
    <row r="190">
      <c r="A190" s="0">
        <v>18.7</v>
      </c>
      <c r="B190" s="0">
        <v>9.34</v>
      </c>
    </row>
    <row r="191">
      <c r="A191" s="0">
        <v>18.8</v>
      </c>
      <c r="B191" s="0">
        <v>9.32</v>
      </c>
    </row>
    <row r="192">
      <c r="A192" s="0">
        <v>18.9</v>
      </c>
      <c r="B192" s="0">
        <v>9.30</v>
      </c>
    </row>
    <row r="193">
      <c r="A193" s="0">
        <v>19.0</v>
      </c>
      <c r="B193" s="0">
        <v>9.28</v>
      </c>
    </row>
    <row r="194">
      <c r="A194" s="0">
        <v>19.1</v>
      </c>
      <c r="B194" s="0">
        <v>9.26</v>
      </c>
    </row>
    <row r="195">
      <c r="A195" s="0">
        <v>19.2</v>
      </c>
      <c r="B195" s="0">
        <v>9.24</v>
      </c>
    </row>
    <row r="196">
      <c r="A196" s="0">
        <v>19.3</v>
      </c>
      <c r="B196" s="0">
        <v>9.22</v>
      </c>
    </row>
    <row r="197">
      <c r="A197" s="0">
        <v>19.4</v>
      </c>
      <c r="B197" s="0">
        <v>9.20</v>
      </c>
    </row>
    <row r="198">
      <c r="A198" s="0">
        <v>19.5</v>
      </c>
      <c r="B198" s="0">
        <v>9.18</v>
      </c>
    </row>
    <row r="199">
      <c r="A199" s="0">
        <v>19.6</v>
      </c>
      <c r="B199" s="0">
        <v>9.17</v>
      </c>
    </row>
    <row r="200">
      <c r="A200" s="0">
        <v>19.7</v>
      </c>
      <c r="B200" s="0">
        <v>9.15</v>
      </c>
    </row>
    <row r="201">
      <c r="A201" s="0">
        <v>19.8</v>
      </c>
      <c r="B201" s="0">
        <v>9.13</v>
      </c>
    </row>
    <row r="202">
      <c r="A202" s="0">
        <v>19.9</v>
      </c>
      <c r="B202" s="0">
        <v>9.11</v>
      </c>
    </row>
    <row r="203">
      <c r="A203" s="0">
        <v>20.0</v>
      </c>
      <c r="B203" s="0">
        <v>9.09</v>
      </c>
    </row>
    <row r="204">
      <c r="A204" s="0">
        <v>20.1</v>
      </c>
      <c r="B204" s="0">
        <v>9.07</v>
      </c>
    </row>
    <row r="205">
      <c r="A205" s="0">
        <v>20.2</v>
      </c>
      <c r="B205" s="0">
        <v>9.06</v>
      </c>
    </row>
    <row r="206">
      <c r="A206" s="0">
        <v>20.3</v>
      </c>
      <c r="B206" s="0">
        <v>9.04</v>
      </c>
    </row>
    <row r="207">
      <c r="A207" s="0">
        <v>20.4</v>
      </c>
      <c r="B207" s="0">
        <v>9.02</v>
      </c>
    </row>
    <row r="208">
      <c r="A208" s="0">
        <v>20.5</v>
      </c>
      <c r="B208" s="0">
        <v>9.00</v>
      </c>
    </row>
    <row r="209">
      <c r="A209" s="0">
        <v>20.6</v>
      </c>
      <c r="B209" s="0">
        <v>8.99</v>
      </c>
    </row>
    <row r="210">
      <c r="A210" s="0">
        <v>20.7</v>
      </c>
      <c r="B210" s="0">
        <v>8.97</v>
      </c>
    </row>
    <row r="211">
      <c r="A211" s="0">
        <v>20.8</v>
      </c>
      <c r="B211" s="0">
        <v>8.95</v>
      </c>
    </row>
    <row r="212">
      <c r="A212" s="0">
        <v>20.9</v>
      </c>
      <c r="B212" s="0">
        <v>8.94</v>
      </c>
    </row>
    <row r="213">
      <c r="A213" s="0">
        <v>21.0</v>
      </c>
      <c r="B213" s="0">
        <v>8.92</v>
      </c>
    </row>
    <row r="214">
      <c r="A214" s="0">
        <v>21.1</v>
      </c>
      <c r="B214" s="0">
        <v>8.90</v>
      </c>
    </row>
    <row r="215">
      <c r="A215" s="0">
        <v>21.2</v>
      </c>
      <c r="B215" s="0">
        <v>8.88</v>
      </c>
    </row>
    <row r="216">
      <c r="A216" s="0">
        <v>21.3</v>
      </c>
      <c r="B216" s="0">
        <v>8.87</v>
      </c>
    </row>
    <row r="217">
      <c r="A217" s="0">
        <v>21.4</v>
      </c>
      <c r="B217" s="0">
        <v>8.85</v>
      </c>
    </row>
    <row r="218">
      <c r="A218" s="0">
        <v>21.5</v>
      </c>
      <c r="B218" s="0">
        <v>8.83</v>
      </c>
    </row>
    <row r="219">
      <c r="A219" s="0">
        <v>21.6</v>
      </c>
      <c r="B219" s="0">
        <v>8.81</v>
      </c>
    </row>
    <row r="220">
      <c r="A220" s="0">
        <v>21.7</v>
      </c>
      <c r="B220" s="0">
        <v>8.79</v>
      </c>
    </row>
    <row r="221">
      <c r="A221" s="0">
        <v>21.8</v>
      </c>
      <c r="B221" s="0">
        <v>8.78</v>
      </c>
    </row>
    <row r="222">
      <c r="A222" s="0">
        <v>21.9</v>
      </c>
      <c r="B222" s="0">
        <v>8.76</v>
      </c>
    </row>
    <row r="223">
      <c r="A223" s="0">
        <v>22.0</v>
      </c>
      <c r="B223" s="0">
        <v>8.74</v>
      </c>
    </row>
    <row r="224">
      <c r="A224" s="0">
        <v>22.1</v>
      </c>
      <c r="B224" s="0">
        <v>8.72</v>
      </c>
    </row>
    <row r="225">
      <c r="A225" s="0">
        <v>22.2</v>
      </c>
      <c r="B225" s="0">
        <v>8.71</v>
      </c>
    </row>
    <row r="226">
      <c r="A226" s="0">
        <v>22.3</v>
      </c>
      <c r="B226" s="0">
        <v>8.69</v>
      </c>
    </row>
    <row r="227">
      <c r="A227" s="0">
        <v>22.4</v>
      </c>
      <c r="B227" s="0">
        <v>8.68</v>
      </c>
    </row>
    <row r="228">
      <c r="A228" s="0">
        <v>22.5</v>
      </c>
      <c r="B228" s="0">
        <v>8.66</v>
      </c>
    </row>
    <row r="229">
      <c r="A229" s="0">
        <v>22.6</v>
      </c>
      <c r="B229" s="0">
        <v>8.64</v>
      </c>
    </row>
    <row r="230">
      <c r="A230" s="0">
        <v>22.7</v>
      </c>
      <c r="B230" s="0">
        <v>8.63</v>
      </c>
    </row>
    <row r="231">
      <c r="A231" s="0">
        <v>22.8</v>
      </c>
      <c r="B231" s="0">
        <v>8.61</v>
      </c>
    </row>
    <row r="232">
      <c r="A232" s="0">
        <v>22.9</v>
      </c>
      <c r="B232" s="0">
        <v>8.60</v>
      </c>
    </row>
    <row r="233">
      <c r="A233" s="0">
        <v>23.0</v>
      </c>
      <c r="B233" s="0">
        <v>8.58</v>
      </c>
    </row>
    <row r="234">
      <c r="A234" s="0">
        <v>23.1</v>
      </c>
      <c r="B234" s="0">
        <v>8.56</v>
      </c>
    </row>
    <row r="235">
      <c r="A235" s="0">
        <v>23.2</v>
      </c>
      <c r="B235" s="0">
        <v>8.55</v>
      </c>
    </row>
    <row r="236">
      <c r="A236" s="0">
        <v>23.3</v>
      </c>
      <c r="B236" s="0">
        <v>8.53</v>
      </c>
    </row>
    <row r="237">
      <c r="A237" s="0">
        <v>23.4</v>
      </c>
      <c r="B237" s="0">
        <v>8.52</v>
      </c>
    </row>
    <row r="238">
      <c r="A238" s="0">
        <v>23.5</v>
      </c>
      <c r="B238" s="0">
        <v>8.50</v>
      </c>
    </row>
    <row r="239">
      <c r="A239" s="0">
        <v>23.6</v>
      </c>
      <c r="B239" s="0">
        <v>8.48</v>
      </c>
    </row>
    <row r="240">
      <c r="A240" s="0">
        <v>23.7</v>
      </c>
      <c r="B240" s="0">
        <v>8.47</v>
      </c>
    </row>
    <row r="241">
      <c r="A241" s="0">
        <v>23.8</v>
      </c>
      <c r="B241" s="0">
        <v>8.45</v>
      </c>
    </row>
    <row r="242">
      <c r="A242" s="0">
        <v>23.9</v>
      </c>
      <c r="B242" s="0">
        <v>8.44</v>
      </c>
    </row>
    <row r="243">
      <c r="A243" s="0">
        <v>24.0</v>
      </c>
      <c r="B243" s="0">
        <v>8.42</v>
      </c>
    </row>
    <row r="244">
      <c r="A244" s="0">
        <v>24.1</v>
      </c>
      <c r="B244" s="0">
        <v>8.40</v>
      </c>
    </row>
    <row r="245">
      <c r="A245" s="0">
        <v>24.2</v>
      </c>
      <c r="B245" s="0">
        <v>8.39</v>
      </c>
    </row>
    <row r="246">
      <c r="A246" s="0">
        <v>24.3</v>
      </c>
      <c r="B246" s="0">
        <v>8.37</v>
      </c>
    </row>
    <row r="247">
      <c r="A247" s="0">
        <v>24.4</v>
      </c>
      <c r="B247" s="0">
        <v>8.36</v>
      </c>
    </row>
    <row r="248">
      <c r="A248" s="0">
        <v>24.5</v>
      </c>
      <c r="B248" s="0">
        <v>8.34</v>
      </c>
    </row>
    <row r="249">
      <c r="A249" s="0">
        <v>24.6</v>
      </c>
      <c r="B249" s="0">
        <v>8.32</v>
      </c>
    </row>
    <row r="250">
      <c r="A250" s="0">
        <v>24.7</v>
      </c>
      <c r="B250" s="0">
        <v>8.31</v>
      </c>
    </row>
    <row r="251">
      <c r="A251" s="0">
        <v>24.8</v>
      </c>
      <c r="B251" s="0">
        <v>8.29</v>
      </c>
    </row>
    <row r="252">
      <c r="A252" s="0">
        <v>24.9</v>
      </c>
      <c r="B252" s="0">
        <v>8.28</v>
      </c>
    </row>
    <row r="253">
      <c r="A253" s="0">
        <v>25.0</v>
      </c>
      <c r="B253" s="0">
        <v>8.26</v>
      </c>
    </row>
    <row r="254">
      <c r="A254" s="0">
        <v>25.1</v>
      </c>
      <c r="B254" s="0">
        <v>8.24</v>
      </c>
    </row>
    <row r="255">
      <c r="A255" s="0">
        <v>25.2</v>
      </c>
      <c r="B255" s="0">
        <v>8.23</v>
      </c>
    </row>
    <row r="256">
      <c r="A256" s="0">
        <v>25.3</v>
      </c>
      <c r="B256" s="0">
        <v>8.21</v>
      </c>
    </row>
    <row r="257">
      <c r="A257" s="0">
        <v>25.4</v>
      </c>
      <c r="B257" s="0">
        <v>8.20</v>
      </c>
    </row>
    <row r="258">
      <c r="A258" s="0">
        <v>25.5</v>
      </c>
      <c r="B258" s="0">
        <v>8.18</v>
      </c>
    </row>
    <row r="259">
      <c r="A259" s="0">
        <v>25.6</v>
      </c>
      <c r="B259" s="0">
        <v>8.17</v>
      </c>
    </row>
    <row r="260">
      <c r="A260" s="0">
        <v>25.7</v>
      </c>
      <c r="B260" s="0">
        <v>8.15</v>
      </c>
    </row>
    <row r="261">
      <c r="A261" s="0">
        <v>25.8</v>
      </c>
      <c r="B261" s="0">
        <v>8.14</v>
      </c>
    </row>
    <row r="262">
      <c r="A262" s="0">
        <v>25.9</v>
      </c>
      <c r="B262" s="0">
        <v>8.12</v>
      </c>
    </row>
    <row r="263">
      <c r="A263" s="0">
        <v>26.0</v>
      </c>
      <c r="B263" s="0">
        <v>8.11</v>
      </c>
    </row>
    <row r="264">
      <c r="A264" s="0">
        <v>26.1</v>
      </c>
      <c r="B264" s="0">
        <v>8.10</v>
      </c>
    </row>
    <row r="265">
      <c r="A265" s="0">
        <v>26.2</v>
      </c>
      <c r="B265" s="0">
        <v>8.08</v>
      </c>
    </row>
    <row r="266">
      <c r="A266" s="0">
        <v>26.3</v>
      </c>
      <c r="B266" s="0">
        <v>8.07</v>
      </c>
    </row>
    <row r="267">
      <c r="A267" s="0">
        <v>26.4</v>
      </c>
      <c r="B267" s="0">
        <v>8.05</v>
      </c>
    </row>
    <row r="268">
      <c r="A268" s="0">
        <v>26.5</v>
      </c>
      <c r="B268" s="0">
        <v>8.04</v>
      </c>
    </row>
    <row r="269">
      <c r="A269" s="0">
        <v>26.6</v>
      </c>
      <c r="B269" s="0">
        <v>8.03</v>
      </c>
    </row>
    <row r="270">
      <c r="A270" s="0">
        <v>26.7</v>
      </c>
      <c r="B270" s="0">
        <v>8.01</v>
      </c>
    </row>
    <row r="271">
      <c r="A271" s="0">
        <v>26.8</v>
      </c>
      <c r="B271" s="0">
        <v>8.00</v>
      </c>
    </row>
    <row r="272">
      <c r="A272" s="0">
        <v>26.9</v>
      </c>
      <c r="B272" s="0">
        <v>7.98</v>
      </c>
    </row>
    <row r="273">
      <c r="A273" s="0">
        <v>27.0</v>
      </c>
      <c r="B273" s="0">
        <v>7.97</v>
      </c>
    </row>
    <row r="274">
      <c r="A274" s="0">
        <v>27.1</v>
      </c>
      <c r="B274" s="0">
        <v>7.96</v>
      </c>
    </row>
    <row r="275">
      <c r="A275" s="0">
        <v>27.2</v>
      </c>
      <c r="B275" s="0">
        <v>7.94</v>
      </c>
    </row>
    <row r="276">
      <c r="A276" s="0">
        <v>27.3</v>
      </c>
      <c r="B276" s="0">
        <v>7.93</v>
      </c>
    </row>
    <row r="277">
      <c r="A277" s="0">
        <v>27.4</v>
      </c>
      <c r="B277" s="0">
        <v>7.91</v>
      </c>
    </row>
    <row r="278">
      <c r="A278" s="0">
        <v>27.5</v>
      </c>
      <c r="B278" s="0">
        <v>7.90</v>
      </c>
    </row>
    <row r="279">
      <c r="A279" s="0">
        <v>27.6</v>
      </c>
      <c r="B279" s="0">
        <v>7.89</v>
      </c>
    </row>
    <row r="280">
      <c r="A280" s="0">
        <v>27.7</v>
      </c>
      <c r="B280" s="0">
        <v>7.87</v>
      </c>
    </row>
    <row r="281">
      <c r="A281" s="0">
        <v>27.8</v>
      </c>
      <c r="B281" s="0">
        <v>7.86</v>
      </c>
    </row>
    <row r="282">
      <c r="A282" s="0">
        <v>27.9</v>
      </c>
      <c r="B282" s="0">
        <v>7.84</v>
      </c>
    </row>
    <row r="283">
      <c r="A283" s="0">
        <v>28.0</v>
      </c>
      <c r="B283" s="0">
        <v>7.83</v>
      </c>
    </row>
    <row r="284">
      <c r="A284" s="0">
        <v>28.1</v>
      </c>
      <c r="B284" s="0">
        <v>7.82</v>
      </c>
    </row>
    <row r="285">
      <c r="A285" s="0">
        <v>28.2</v>
      </c>
      <c r="B285" s="0">
        <v>7.80</v>
      </c>
    </row>
    <row r="286">
      <c r="A286" s="0">
        <v>28.3</v>
      </c>
      <c r="B286" s="0">
        <v>7.79</v>
      </c>
    </row>
    <row r="287">
      <c r="A287" s="0">
        <v>28.4</v>
      </c>
      <c r="B287" s="0">
        <v>7.77</v>
      </c>
    </row>
    <row r="288">
      <c r="A288" s="0">
        <v>28.5</v>
      </c>
      <c r="B288" s="0">
        <v>7.76</v>
      </c>
    </row>
    <row r="289">
      <c r="A289" s="0">
        <v>28.6</v>
      </c>
      <c r="B289" s="0">
        <v>7.75</v>
      </c>
    </row>
    <row r="290">
      <c r="A290" s="0">
        <v>28.7</v>
      </c>
      <c r="B290" s="0">
        <v>7.73</v>
      </c>
    </row>
    <row r="291">
      <c r="A291" s="0">
        <v>28.8</v>
      </c>
      <c r="B291" s="0">
        <v>7.72</v>
      </c>
    </row>
    <row r="292">
      <c r="A292" s="0">
        <v>28.9</v>
      </c>
      <c r="B292" s="0">
        <v>7.70</v>
      </c>
    </row>
    <row r="293">
      <c r="A293" s="0">
        <v>29.0</v>
      </c>
      <c r="B293" s="0">
        <v>7.69</v>
      </c>
    </row>
    <row r="294">
      <c r="A294" s="0">
        <v>29.1</v>
      </c>
      <c r="B294" s="0">
        <v>7.68</v>
      </c>
    </row>
    <row r="295">
      <c r="A295" s="0">
        <v>29.2</v>
      </c>
      <c r="B295" s="0">
        <v>7.66</v>
      </c>
    </row>
    <row r="296">
      <c r="A296" s="0">
        <v>29.3</v>
      </c>
      <c r="B296" s="0">
        <v>7.65</v>
      </c>
    </row>
    <row r="297">
      <c r="A297" s="0">
        <v>29.4</v>
      </c>
      <c r="B297" s="0">
        <v>7.64</v>
      </c>
    </row>
    <row r="298">
      <c r="A298" s="0">
        <v>29.5</v>
      </c>
      <c r="B298" s="0">
        <v>7.62</v>
      </c>
    </row>
    <row r="299">
      <c r="A299" s="0">
        <v>29.6</v>
      </c>
      <c r="B299" s="0">
        <v>7.61</v>
      </c>
    </row>
    <row r="300">
      <c r="A300" s="0">
        <v>29.7</v>
      </c>
      <c r="B300" s="0">
        <v>7.60</v>
      </c>
    </row>
    <row r="301">
      <c r="A301" s="0">
        <v>29.8</v>
      </c>
      <c r="B301" s="0">
        <v>7.59</v>
      </c>
    </row>
    <row r="302">
      <c r="A302" s="0">
        <v>29.9</v>
      </c>
      <c r="B302" s="0">
        <v>7.57</v>
      </c>
    </row>
    <row r="303">
      <c r="A303" s="0">
        <v>30.0</v>
      </c>
      <c r="B303" s="0">
        <v>7.56</v>
      </c>
    </row>
    <row r="304">
      <c r="A304" s="0">
        <v>30.1</v>
      </c>
      <c r="B304" s="0">
        <v>7.55</v>
      </c>
    </row>
    <row r="305">
      <c r="A305" s="0">
        <v>30.2</v>
      </c>
      <c r="B305" s="0">
        <v>7.53</v>
      </c>
    </row>
    <row r="306">
      <c r="A306" s="0">
        <v>30.3</v>
      </c>
      <c r="B306" s="0">
        <v>7.52</v>
      </c>
    </row>
    <row r="307">
      <c r="A307" s="0">
        <v>30.4</v>
      </c>
      <c r="B307" s="0">
        <v>7.51</v>
      </c>
    </row>
    <row r="308">
      <c r="A308" s="0">
        <v>30.5</v>
      </c>
      <c r="B308" s="0">
        <v>7.49</v>
      </c>
    </row>
    <row r="309">
      <c r="A309" s="0">
        <v>30.6</v>
      </c>
      <c r="B309" s="0">
        <v>7.48</v>
      </c>
    </row>
    <row r="310">
      <c r="A310" s="0">
        <v>30.7</v>
      </c>
      <c r="B310" s="0">
        <v>7.47</v>
      </c>
    </row>
    <row r="311">
      <c r="A311" s="0">
        <v>30.8</v>
      </c>
      <c r="B311" s="0">
        <v>7.46</v>
      </c>
    </row>
    <row r="312">
      <c r="A312" s="0">
        <v>30.9</v>
      </c>
      <c r="B312" s="0">
        <v>7.44</v>
      </c>
    </row>
    <row r="313">
      <c r="A313" s="0">
        <v>31.0</v>
      </c>
      <c r="B313" s="0">
        <v>7.43</v>
      </c>
    </row>
    <row r="314">
      <c r="A314" s="0">
        <v>31.1</v>
      </c>
      <c r="B314" s="0">
        <v>7.42</v>
      </c>
    </row>
    <row r="315">
      <c r="A315" s="0">
        <v>31.2</v>
      </c>
      <c r="B315" s="0">
        <v>7.41</v>
      </c>
    </row>
    <row r="316">
      <c r="A316" s="0">
        <v>31.3</v>
      </c>
      <c r="B316" s="0">
        <v>7.39</v>
      </c>
    </row>
    <row r="317">
      <c r="A317" s="0">
        <v>31.4</v>
      </c>
      <c r="B317" s="0">
        <v>7.38</v>
      </c>
    </row>
    <row r="318">
      <c r="A318" s="0">
        <v>31.5</v>
      </c>
      <c r="B318" s="0">
        <v>7.37</v>
      </c>
    </row>
    <row r="319">
      <c r="A319" s="0">
        <v>31.6</v>
      </c>
      <c r="B319" s="0">
        <v>7.36</v>
      </c>
    </row>
    <row r="320">
      <c r="A320" s="0">
        <v>31.7</v>
      </c>
      <c r="B320" s="0">
        <v>7.35</v>
      </c>
    </row>
    <row r="321">
      <c r="A321" s="0">
        <v>31.8</v>
      </c>
      <c r="B321" s="0">
        <v>7.33</v>
      </c>
    </row>
    <row r="322">
      <c r="A322" s="0">
        <v>31.9</v>
      </c>
      <c r="B322" s="0">
        <v>7.32</v>
      </c>
    </row>
    <row r="323">
      <c r="A323" s="0">
        <v>32.0</v>
      </c>
      <c r="B323" s="0">
        <v>7.31</v>
      </c>
    </row>
    <row r="324">
      <c r="A324" s="0">
        <v>32.1</v>
      </c>
      <c r="B324" s="0">
        <v>7.30</v>
      </c>
    </row>
    <row r="325">
      <c r="A325" s="0">
        <v>32.2</v>
      </c>
      <c r="B325" s="0">
        <v>7.28</v>
      </c>
    </row>
    <row r="326">
      <c r="A326" s="0">
        <v>32.3</v>
      </c>
      <c r="B326" s="0">
        <v>7.27</v>
      </c>
    </row>
    <row r="327">
      <c r="A327" s="0">
        <v>32.4</v>
      </c>
      <c r="B327" s="0">
        <v>7.26</v>
      </c>
    </row>
    <row r="328">
      <c r="A328" s="0">
        <v>32.5</v>
      </c>
      <c r="B328" s="0">
        <v>7.24</v>
      </c>
    </row>
    <row r="329">
      <c r="A329" s="0">
        <v>32.6</v>
      </c>
      <c r="B329" s="0">
        <v>7.23</v>
      </c>
    </row>
    <row r="330">
      <c r="A330" s="0">
        <v>32.7</v>
      </c>
      <c r="B330" s="0">
        <v>7.22</v>
      </c>
    </row>
    <row r="331">
      <c r="A331" s="0">
        <v>32.8</v>
      </c>
      <c r="B331" s="0">
        <v>7.21</v>
      </c>
    </row>
    <row r="332">
      <c r="A332" s="0">
        <v>32.9</v>
      </c>
      <c r="B332" s="0">
        <v>7.19</v>
      </c>
    </row>
    <row r="333">
      <c r="A333" s="0">
        <v>33.0</v>
      </c>
      <c r="B333" s="0">
        <v>7.18</v>
      </c>
    </row>
    <row r="334">
      <c r="A334" s="0">
        <v>33.1</v>
      </c>
      <c r="B334" s="0">
        <v>7.17</v>
      </c>
    </row>
    <row r="335">
      <c r="A335" s="0">
        <v>33.2</v>
      </c>
      <c r="B335" s="0">
        <v>7.16</v>
      </c>
    </row>
    <row r="336">
      <c r="A336" s="0">
        <v>33.3</v>
      </c>
      <c r="B336" s="0">
        <v>7.15</v>
      </c>
    </row>
    <row r="337">
      <c r="A337" s="0">
        <v>33.4</v>
      </c>
      <c r="B337" s="0">
        <v>7.14</v>
      </c>
    </row>
    <row r="338">
      <c r="A338" s="0">
        <v>33.5</v>
      </c>
      <c r="B338" s="0">
        <v>7.12</v>
      </c>
    </row>
    <row r="339">
      <c r="A339" s="0">
        <v>33.6</v>
      </c>
      <c r="B339" s="0">
        <v>7.11</v>
      </c>
    </row>
    <row r="340">
      <c r="A340" s="0">
        <v>33.7</v>
      </c>
      <c r="B340" s="0">
        <v>7.10</v>
      </c>
    </row>
    <row r="341">
      <c r="A341" s="0">
        <v>33.8</v>
      </c>
      <c r="B341" s="0">
        <v>7.09</v>
      </c>
    </row>
    <row r="342">
      <c r="A342" s="0">
        <v>33.9</v>
      </c>
      <c r="B342" s="0">
        <v>7.08</v>
      </c>
    </row>
    <row r="343">
      <c r="A343" s="0">
        <v>34.0</v>
      </c>
      <c r="B343" s="0">
        <v>7.07</v>
      </c>
    </row>
    <row r="344">
      <c r="A344" s="0">
        <v>34.1</v>
      </c>
      <c r="B344" s="0">
        <v>7.06</v>
      </c>
    </row>
    <row r="345">
      <c r="A345" s="0">
        <v>34.2</v>
      </c>
      <c r="B345" s="0">
        <v>7.05</v>
      </c>
    </row>
    <row r="346">
      <c r="A346" s="0">
        <v>34.3</v>
      </c>
      <c r="B346" s="0">
        <v>7.03</v>
      </c>
    </row>
    <row r="347">
      <c r="A347" s="0">
        <v>34.4</v>
      </c>
      <c r="B347" s="0">
        <v>7.02</v>
      </c>
    </row>
    <row r="348">
      <c r="A348" s="0">
        <v>34.5</v>
      </c>
      <c r="B348" s="0">
        <v>7.01</v>
      </c>
    </row>
    <row r="349">
      <c r="A349" s="0">
        <v>34.6</v>
      </c>
      <c r="B349" s="0">
        <v>7.00</v>
      </c>
    </row>
    <row r="350">
      <c r="A350" s="0">
        <v>34.7</v>
      </c>
      <c r="B350" s="0">
        <v>6.99</v>
      </c>
    </row>
    <row r="351">
      <c r="A351" s="0">
        <v>34.8</v>
      </c>
      <c r="B351" s="0">
        <v>6.97</v>
      </c>
    </row>
    <row r="352">
      <c r="A352" s="0">
        <v>34.9</v>
      </c>
      <c r="B352" s="0">
        <v>6.96</v>
      </c>
    </row>
    <row r="353">
      <c r="A353" s="0">
        <v>35.0</v>
      </c>
      <c r="B353" s="0">
        <v>6.95</v>
      </c>
    </row>
    <row r="354">
      <c r="A354" s="0">
        <v>35.1</v>
      </c>
      <c r="B354" s="0">
        <v>6.94</v>
      </c>
    </row>
    <row r="355">
      <c r="A355" s="0">
        <v>35.2</v>
      </c>
      <c r="B355" s="0">
        <v>6.93</v>
      </c>
    </row>
    <row r="356">
      <c r="A356" s="0">
        <v>35.3</v>
      </c>
      <c r="B356" s="0">
        <v>6.92</v>
      </c>
    </row>
    <row r="357">
      <c r="A357" s="0">
        <v>35.4</v>
      </c>
      <c r="B357" s="0">
        <v>6.91</v>
      </c>
    </row>
    <row r="358">
      <c r="A358" s="0">
        <v>35.5</v>
      </c>
      <c r="B358" s="0">
        <v>6.89</v>
      </c>
    </row>
    <row r="359">
      <c r="A359" s="0">
        <v>35.6</v>
      </c>
      <c r="B359" s="0">
        <v>6.88</v>
      </c>
    </row>
    <row r="360">
      <c r="A360" s="0">
        <v>35.7</v>
      </c>
      <c r="B360" s="0">
        <v>6.87</v>
      </c>
    </row>
    <row r="361">
      <c r="A361" s="0">
        <v>35.8</v>
      </c>
      <c r="B361" s="0">
        <v>6.86</v>
      </c>
    </row>
    <row r="362">
      <c r="A362" s="0">
        <v>35.9</v>
      </c>
      <c r="B362" s="0">
        <v>6.85</v>
      </c>
    </row>
    <row r="363">
      <c r="A363" s="0">
        <v>36.0</v>
      </c>
      <c r="B363" s="0">
        <v>6.84</v>
      </c>
    </row>
    <row r="364">
      <c r="A364" s="0">
        <v>36.1</v>
      </c>
      <c r="B364" s="0">
        <v>6.83</v>
      </c>
    </row>
    <row r="365">
      <c r="A365" s="0">
        <v>36.2</v>
      </c>
      <c r="B365" s="0">
        <v>6.82</v>
      </c>
    </row>
    <row r="366">
      <c r="A366" s="0">
        <v>36.3</v>
      </c>
      <c r="B366" s="0">
        <v>6.81</v>
      </c>
    </row>
    <row r="367">
      <c r="A367" s="0">
        <v>36.4</v>
      </c>
      <c r="B367" s="0">
        <v>6.80</v>
      </c>
    </row>
    <row r="368">
      <c r="A368" s="0">
        <v>36.5</v>
      </c>
      <c r="B368" s="0">
        <v>6.79</v>
      </c>
    </row>
    <row r="369">
      <c r="A369" s="0">
        <v>36.6</v>
      </c>
      <c r="B369" s="0">
        <v>6.77</v>
      </c>
    </row>
    <row r="370">
      <c r="A370" s="0">
        <v>36.7</v>
      </c>
      <c r="B370" s="0">
        <v>6.76</v>
      </c>
    </row>
    <row r="371">
      <c r="A371" s="0">
        <v>36.8</v>
      </c>
      <c r="B371" s="0">
        <v>6.75</v>
      </c>
    </row>
    <row r="372">
      <c r="A372" s="0">
        <v>36.9</v>
      </c>
      <c r="B372" s="0">
        <v>6.74</v>
      </c>
    </row>
    <row r="373">
      <c r="A373" s="0">
        <v>37.0</v>
      </c>
      <c r="B373" s="0">
        <v>6.73</v>
      </c>
    </row>
    <row r="374">
      <c r="A374" s="0">
        <v>37.1</v>
      </c>
      <c r="B374" s="0">
        <v>6.72</v>
      </c>
    </row>
    <row r="375">
      <c r="A375" s="0">
        <v>37.2</v>
      </c>
      <c r="B375" s="0">
        <v>6.71</v>
      </c>
    </row>
    <row r="376">
      <c r="A376" s="0">
        <v>37.3</v>
      </c>
      <c r="B376" s="0">
        <v>6.70</v>
      </c>
    </row>
    <row r="377">
      <c r="A377" s="0">
        <v>37.4</v>
      </c>
      <c r="B377" s="0">
        <v>6.69</v>
      </c>
    </row>
    <row r="378">
      <c r="A378" s="0">
        <v>37.5</v>
      </c>
      <c r="B378" s="0">
        <v>6.68</v>
      </c>
    </row>
    <row r="379">
      <c r="A379" s="0">
        <v>37.6</v>
      </c>
      <c r="B379" s="0">
        <v>6.66</v>
      </c>
    </row>
    <row r="380">
      <c r="A380" s="0">
        <v>37.7</v>
      </c>
      <c r="B380" s="0">
        <v>6.65</v>
      </c>
    </row>
    <row r="381">
      <c r="A381" s="0">
        <v>37.8</v>
      </c>
      <c r="B381" s="0">
        <v>6.64</v>
      </c>
    </row>
    <row r="382">
      <c r="A382" s="0">
        <v>37.9</v>
      </c>
      <c r="B382" s="0">
        <v>6.63</v>
      </c>
    </row>
    <row r="383">
      <c r="A383" s="0">
        <v>38.0</v>
      </c>
      <c r="B383" s="0">
        <v>6.62</v>
      </c>
    </row>
    <row r="384">
      <c r="A384" s="0">
        <v>38.1</v>
      </c>
      <c r="B384" s="0">
        <v>6.61</v>
      </c>
    </row>
    <row r="385">
      <c r="A385" s="0">
        <v>38.2</v>
      </c>
      <c r="B385" s="0">
        <v>6.60</v>
      </c>
    </row>
    <row r="386">
      <c r="A386" s="0">
        <v>38.3</v>
      </c>
      <c r="B386" s="0">
        <v>6.59</v>
      </c>
    </row>
    <row r="387">
      <c r="A387" s="0">
        <v>38.4</v>
      </c>
      <c r="B387" s="0">
        <v>6.58</v>
      </c>
    </row>
    <row r="388">
      <c r="A388" s="0">
        <v>38.5</v>
      </c>
      <c r="B388" s="0">
        <v>6.57</v>
      </c>
    </row>
    <row r="389">
      <c r="A389" s="0">
        <v>38.6</v>
      </c>
      <c r="B389" s="0">
        <v>6.56</v>
      </c>
    </row>
    <row r="390">
      <c r="A390" s="0">
        <v>38.7</v>
      </c>
      <c r="B390" s="0">
        <v>6.55</v>
      </c>
    </row>
    <row r="391">
      <c r="A391" s="0">
        <v>38.8</v>
      </c>
      <c r="B391" s="0">
        <v>6.54</v>
      </c>
    </row>
    <row r="392">
      <c r="A392" s="0">
        <v>38.9</v>
      </c>
      <c r="B392" s="0">
        <v>6.53</v>
      </c>
    </row>
    <row r="393">
      <c r="A393" s="0">
        <v>39.0</v>
      </c>
      <c r="B393" s="0">
        <v>6.52</v>
      </c>
    </row>
    <row r="394">
      <c r="A394" s="0">
        <v>39.1</v>
      </c>
      <c r="B394" s="0">
        <v>6.51</v>
      </c>
    </row>
    <row r="395">
      <c r="A395" s="0">
        <v>39.2</v>
      </c>
      <c r="B395" s="0">
        <v>6.50</v>
      </c>
    </row>
    <row r="396">
      <c r="A396" s="0">
        <v>39.3</v>
      </c>
      <c r="B396" s="0">
        <v>6.49</v>
      </c>
    </row>
    <row r="397">
      <c r="A397" s="0">
        <v>39.4</v>
      </c>
      <c r="B397" s="0">
        <v>6.48</v>
      </c>
    </row>
    <row r="398">
      <c r="A398" s="0">
        <v>39.5</v>
      </c>
      <c r="B398" s="0">
        <v>6.46</v>
      </c>
    </row>
    <row r="399">
      <c r="A399" s="0">
        <v>39.6</v>
      </c>
      <c r="B399" s="0">
        <v>6.45</v>
      </c>
    </row>
    <row r="400">
      <c r="A400" s="0">
        <v>39.7</v>
      </c>
      <c r="B400" s="0">
        <v>6.44</v>
      </c>
    </row>
    <row r="401">
      <c r="A401" s="0">
        <v>39.8</v>
      </c>
      <c r="B401" s="0">
        <v>6.43</v>
      </c>
    </row>
    <row r="402">
      <c r="A402" s="0">
        <v>39.9</v>
      </c>
      <c r="B402" s="0">
        <v>6.42</v>
      </c>
    </row>
    <row r="403">
      <c r="A403" s="0">
        <v>40.0</v>
      </c>
      <c r="B403" s="0">
        <v>6.41</v>
      </c>
    </row>
  </sheetData>
</worksheet>
</file>