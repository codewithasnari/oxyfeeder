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DO Sensor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4"/>
      <color rgb="FF1E5140"/>
      <name val="Calibri"/>
    </font>
    <font>
      <b/>
      <sz val="11"/>
      <color rgb="FFFFFFFF"/>
      <name val="Calibri"/>
    </font>
    <font>
      <b/>
      <sz val="11"/>
      <color rgb="FFA75F33"/>
      <name val="Calibri"/>
    </font>
    <font>
      <i/>
      <sz val="10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5140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0EBE6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2" borderId="1" xfId="0" applyFill="1" applyBorder="1"/>
    <xf numFmtId="0" fontId="0" fillId="3" borderId="1" xfId="0" applyFill="1" applyBorder="1"/>
    <xf numFmtId="0" fontId="3" fillId="0" borderId="0" xfId="0"/>
    <xf numFmtId="0" fontId="0" fillId="4" borderId="1" xfId="0" applyFill="1" applyBorder="1"/>
    <xf numFmtId="0" fontId="4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cols>
    <col min="1" max="1" width="44" customWidth="1"/>
    <col min="2" max="2" width="18" customWidth="1"/>
    <col min="3" max="3" width="18" customWidth="1"/>
    <col min="4" max="6" width="16" customWidth="1"/>
  </cols>
  <sheetData>
    <row r="1">
      <c r="A1" s="1" t="inlineStr">
        <is>
          <t>OXYFEEDER - DISSOLVED OXYGEN SENSOR DATA SHEET</t>
        </is>
      </c>
    </row>
    <row r="2">
      <c r="A2" s="0" t="inlineStr">
        <is>
          <t>Date:</t>
        </is>
      </c>
      <c r="B2" s="3"/>
      <c r="C2" s="0" t="inlineStr">
        <is>
          <t>Water temp (C):</t>
        </is>
      </c>
      <c r="D2" s="3"/>
      <c r="E2" s="0" t="inlineStr">
        <is>
          <t>Recorded by:</t>
        </is>
      </c>
      <c r="F2" s="3"/>
    </row>
    <row r="4">
      <c r="A4" s="4" t="inlineStr">
        <is>
          <t>1.  TWO-POINT CALIBRATION</t>
        </is>
      </c>
    </row>
    <row r="5">
      <c r="A5" s="2" t="inlineStr">
        <is>
          <t>Solution</t>
        </is>
      </c>
      <c r="B5" s="2" t="inlineStr">
        <is>
          <t>Known DO (mg/L)</t>
        </is>
      </c>
      <c r="C5" s="2" t="inlineStr">
        <is>
          <t>Voltage read (V)</t>
        </is>
      </c>
    </row>
    <row r="6">
      <c r="A6" s="0" t="inlineStr">
        <is>
          <t>Sodium sulfite - zero solution</t>
        </is>
      </c>
      <c r="B6" s="5">
        <v>0</v>
      </c>
      <c r="C6" s="3"/>
    </row>
    <row r="7">
      <c r="A7" s="0" t="inlineStr">
        <is>
          <t>Air-saturated water (aerate 20 min)</t>
        </is>
      </c>
      <c r="B7" s="3"/>
      <c r="C7" s="3"/>
    </row>
    <row r="8">
      <c r="A8" s="6" t="inlineStr">
        <is>
          <t>Look up B7 in the saturation table below, using your water temp</t>
        </is>
      </c>
    </row>
    <row r="10">
      <c r="A10" s="4" t="inlineStr">
        <is>
          <t>Slope (mg/L per volt)</t>
        </is>
      </c>
      <c r="B10" s="5">
        <f>IFERROR((B7-B6)/(C7-C6),"")</f>
      </c>
    </row>
    <row r="11">
      <c r="A11" s="4" t="inlineStr">
        <is>
          <t>Firmware conversion line</t>
        </is>
      </c>
      <c r="B11" s="5">
        <f>IF(B10="","","DO = (voltage - "&amp;TEXT(C6,"0.00")&amp;") * "&amp;TEXT(B10,"0.000"))</f>
      </c>
    </row>
    <row r="13">
      <c r="A13" s="4" t="inlineStr">
        <is>
          <t>SATURATION REFERENCE  -  sea level</t>
        </is>
      </c>
    </row>
    <row r="14">
      <c r="A14" s="2" t="inlineStr">
        <is>
          <t>Water temp (C)</t>
        </is>
      </c>
      <c r="B14" s="2" t="inlineStr">
        <is>
          <t>DO at 100% saturation (mg/L)</t>
        </is>
      </c>
    </row>
    <row r="15">
      <c r="A15" s="0">
        <v>24</v>
      </c>
      <c r="B15" s="0">
        <v>8.42</v>
      </c>
    </row>
    <row r="16">
      <c r="A16" s="0">
        <v>25</v>
      </c>
      <c r="B16" s="0">
        <v>8.26</v>
      </c>
    </row>
    <row r="17">
      <c r="A17" s="0">
        <v>26</v>
      </c>
      <c r="B17" s="0">
        <v>8.11</v>
      </c>
    </row>
    <row r="18">
      <c r="A18" s="0">
        <v>27</v>
      </c>
      <c r="B18" s="0">
        <v>7.97</v>
      </c>
    </row>
    <row r="19">
      <c r="A19" s="0">
        <v>28</v>
      </c>
      <c r="B19" s="0">
        <v>7.83</v>
      </c>
    </row>
    <row r="20">
      <c r="A20" s="0">
        <v>29</v>
      </c>
      <c r="B20" s="0">
        <v>7.69</v>
      </c>
    </row>
    <row r="21">
      <c r="A21" s="0">
        <v>30</v>
      </c>
      <c r="B21" s="0">
        <v>7.56</v>
      </c>
    </row>
    <row r="22">
      <c r="A22" s="0">
        <v>31</v>
      </c>
      <c r="B22" s="0">
        <v>7.43</v>
      </c>
    </row>
    <row r="23">
      <c r="A23" s="0">
        <v>32</v>
      </c>
      <c r="B23" s="0">
        <v>7.31</v>
      </c>
    </row>
    <row r="25">
      <c r="A25" s="4" t="inlineStr">
        <is>
          <t>2.  REPEATABILITY  -  20 readings in saturated water, 30 s apart</t>
        </is>
      </c>
    </row>
    <row r="26">
      <c r="A26" s="2" t="inlineStr">
        <is>
          <t>#</t>
        </is>
      </c>
      <c r="B26" s="2" t="inlineStr">
        <is>
          <t>Reading (mg/L)</t>
        </is>
      </c>
    </row>
    <row r="27">
      <c r="A27" s="0">
        <v>1</v>
      </c>
      <c r="B27" s="3"/>
    </row>
    <row r="28">
      <c r="A28" s="0">
        <v>2</v>
      </c>
      <c r="B28" s="3"/>
    </row>
    <row r="29">
      <c r="A29" s="0">
        <v>3</v>
      </c>
      <c r="B29" s="3"/>
    </row>
    <row r="30">
      <c r="A30" s="0">
        <v>4</v>
      </c>
      <c r="B30" s="3"/>
    </row>
    <row r="31">
      <c r="A31" s="0">
        <v>5</v>
      </c>
      <c r="B31" s="3"/>
    </row>
    <row r="32">
      <c r="A32" s="0">
        <v>6</v>
      </c>
      <c r="B32" s="3"/>
    </row>
    <row r="33">
      <c r="A33" s="0">
        <v>7</v>
      </c>
      <c r="B33" s="3"/>
    </row>
    <row r="34">
      <c r="A34" s="0">
        <v>8</v>
      </c>
      <c r="B34" s="3"/>
    </row>
    <row r="35">
      <c r="A35" s="0">
        <v>9</v>
      </c>
      <c r="B35" s="3"/>
    </row>
    <row r="36">
      <c r="A36" s="0">
        <v>10</v>
      </c>
      <c r="B36" s="3"/>
    </row>
    <row r="37">
      <c r="A37" s="0">
        <v>11</v>
      </c>
      <c r="B37" s="3"/>
    </row>
    <row r="38">
      <c r="A38" s="0">
        <v>12</v>
      </c>
      <c r="B38" s="3"/>
    </row>
    <row r="39">
      <c r="A39" s="0">
        <v>13</v>
      </c>
      <c r="B39" s="3"/>
    </row>
    <row r="40">
      <c r="A40" s="0">
        <v>14</v>
      </c>
      <c r="B40" s="3"/>
    </row>
    <row r="41">
      <c r="A41" s="0">
        <v>15</v>
      </c>
      <c r="B41" s="3"/>
    </row>
    <row r="42">
      <c r="A42" s="0">
        <v>16</v>
      </c>
      <c r="B42" s="3"/>
    </row>
    <row r="43">
      <c r="A43" s="0">
        <v>17</v>
      </c>
      <c r="B43" s="3"/>
    </row>
    <row r="44">
      <c r="A44" s="0">
        <v>18</v>
      </c>
      <c r="B44" s="3"/>
    </row>
    <row r="45">
      <c r="A45" s="0">
        <v>19</v>
      </c>
      <c r="B45" s="3"/>
    </row>
    <row r="46">
      <c r="A46" s="0">
        <v>20</v>
      </c>
      <c r="B46" s="3"/>
    </row>
    <row r="47">
      <c r="A47" s="4" t="inlineStr">
        <is>
          <t>Mean (mg/L)</t>
        </is>
      </c>
      <c r="B47" s="5">
        <f>IFERROR(AVERAGE(B27:B46),"")</f>
      </c>
    </row>
    <row r="48">
      <c r="A48" s="4" t="inlineStr">
        <is>
          <t>Standard deviation (sample)</t>
        </is>
      </c>
      <c r="B48" s="5">
        <f>IFERROR(STDEV.S(B27:B46),"")</f>
      </c>
    </row>
    <row r="49">
      <c r="A49" s="0" t="inlineStr">
        <is>
          <t>Readings entered</t>
        </is>
      </c>
      <c r="B49" s="5">
        <f>COUNT(B27:B46)</f>
      </c>
    </row>
    <row r="51">
      <c r="A51" s="4" t="inlineStr">
        <is>
          <t>3.  RESPONSE TIME  -  move probe from zero solution into saturated water</t>
        </is>
      </c>
    </row>
    <row r="52">
      <c r="A52" s="2" t="inlineStr">
        <is>
          <t>Time (s)</t>
        </is>
      </c>
      <c r="B52" s="2" t="inlineStr">
        <is>
          <t>Reading (mg/L)</t>
        </is>
      </c>
    </row>
    <row r="53">
      <c r="A53" s="0">
        <v>0</v>
      </c>
      <c r="B53" s="3"/>
    </row>
    <row r="54">
      <c r="A54" s="0">
        <v>5</v>
      </c>
      <c r="B54" s="3"/>
    </row>
    <row r="55">
      <c r="A55" s="0">
        <v>10</v>
      </c>
      <c r="B55" s="3"/>
    </row>
    <row r="56">
      <c r="A56" s="0">
        <v>15</v>
      </c>
      <c r="B56" s="3"/>
    </row>
    <row r="57">
      <c r="A57" s="0">
        <v>20</v>
      </c>
      <c r="B57" s="3"/>
    </row>
    <row r="58">
      <c r="A58" s="0">
        <v>25</v>
      </c>
      <c r="B58" s="3"/>
    </row>
    <row r="59">
      <c r="A59" s="0">
        <v>30</v>
      </c>
      <c r="B59" s="3"/>
    </row>
    <row r="60">
      <c r="A60" s="0">
        <v>35</v>
      </c>
      <c r="B60" s="3"/>
    </row>
    <row r="61">
      <c r="A61" s="0">
        <v>40</v>
      </c>
      <c r="B61" s="3"/>
    </row>
    <row r="62">
      <c r="A62" s="0">
        <v>45</v>
      </c>
      <c r="B62" s="3"/>
    </row>
    <row r="63">
      <c r="A63" s="4" t="inlineStr">
        <is>
          <t>95% of final value</t>
        </is>
      </c>
      <c r="B63" s="5">
        <f>IFERROR(MAX(B53:B62)*0.95,"")</f>
      </c>
    </row>
    <row r="64">
      <c r="A64" s="0" t="inlineStr">
        <is>
          <t>T95 (s) - first time at or above the value above</t>
        </is>
      </c>
      <c r="B64" s="3"/>
    </row>
    <row r="66">
      <c r="A66" s="4" t="inlineStr">
        <is>
          <t>4.  DRIFT  -  one hour in a single sample, undisturbed</t>
        </is>
      </c>
    </row>
    <row r="67">
      <c r="A67" s="2" t="inlineStr">
        <is>
          <t>Minutes</t>
        </is>
      </c>
      <c r="B67" s="2" t="inlineStr">
        <is>
          <t>Reading (mg/L)</t>
        </is>
      </c>
    </row>
    <row r="68">
      <c r="A68" s="0">
        <v>0</v>
      </c>
      <c r="B68" s="3"/>
    </row>
    <row r="69">
      <c r="A69" s="0">
        <v>5</v>
      </c>
      <c r="B69" s="3"/>
    </row>
    <row r="70">
      <c r="A70" s="0">
        <v>10</v>
      </c>
      <c r="B70" s="3"/>
    </row>
    <row r="71">
      <c r="A71" s="0">
        <v>15</v>
      </c>
      <c r="B71" s="3"/>
    </row>
    <row r="72">
      <c r="A72" s="0">
        <v>20</v>
      </c>
      <c r="B72" s="3"/>
    </row>
    <row r="73">
      <c r="A73" s="0">
        <v>25</v>
      </c>
      <c r="B73" s="3"/>
    </row>
    <row r="74">
      <c r="A74" s="0">
        <v>30</v>
      </c>
      <c r="B74" s="3"/>
    </row>
    <row r="75">
      <c r="A75" s="0">
        <v>35</v>
      </c>
      <c r="B75" s="3"/>
    </row>
    <row r="76">
      <c r="A76" s="0">
        <v>40</v>
      </c>
      <c r="B76" s="3"/>
    </row>
    <row r="77">
      <c r="A77" s="0">
        <v>45</v>
      </c>
      <c r="B77" s="3"/>
    </row>
    <row r="78">
      <c r="A78" s="0">
        <v>50</v>
      </c>
      <c r="B78" s="3"/>
    </row>
    <row r="79">
      <c r="A79" s="0">
        <v>55</v>
      </c>
      <c r="B79" s="3"/>
    </row>
    <row r="80">
      <c r="A80" s="0">
        <v>60</v>
      </c>
      <c r="B80" s="3"/>
    </row>
    <row r="81">
      <c r="A81" s="4" t="inlineStr">
        <is>
          <t>Drift over 1 hour (mg/L)</t>
        </is>
      </c>
      <c r="B81" s="5">
        <f>IF(OR(B68="",B80=""),"",B68-B80)</f>
      </c>
    </row>
    <row r="83">
      <c r="A83" s="4" t="inlineStr">
        <is>
          <t>5.  DISCRIMINATION  -  four samples of increasing oxygen</t>
        </is>
      </c>
    </row>
    <row r="84">
      <c r="A84" s="2" t="inlineStr">
        <is>
          <t>Sample</t>
        </is>
      </c>
      <c r="B84" s="2" t="inlineStr">
        <is>
          <t>Expected</t>
        </is>
      </c>
      <c r="C84" s="2" t="inlineStr">
        <is>
          <t>Reading (mg/L)</t>
        </is>
      </c>
    </row>
    <row r="85">
      <c r="A85" s="0" t="inlineStr">
        <is>
          <t>Sodium sulfite (zero)</t>
        </is>
      </c>
      <c r="B85" s="0" t="inlineStr">
        <is>
          <t>lowest</t>
        </is>
      </c>
      <c r="C85" s="3"/>
    </row>
    <row r="86">
      <c r="A86" s="0" t="inlineStr">
        <is>
          <t>Boiled then cooled, sealed</t>
        </is>
      </c>
      <c r="B86" s="0" t="inlineStr">
        <is>
          <t>low</t>
        </is>
      </c>
      <c r="C86" s="3"/>
    </row>
    <row r="87">
      <c r="A87" s="0" t="inlineStr">
        <is>
          <t>Still tap water</t>
        </is>
      </c>
      <c r="B87" s="0" t="inlineStr">
        <is>
          <t>medium</t>
        </is>
      </c>
      <c r="C87" s="3"/>
    </row>
    <row r="88">
      <c r="A88" s="0" t="inlineStr">
        <is>
          <t>Aerated 20 min</t>
        </is>
      </c>
      <c r="B88" s="0" t="inlineStr">
        <is>
          <t>highest</t>
        </is>
      </c>
      <c r="C88" s="3"/>
    </row>
    <row r="89">
      <c r="A89" s="4" t="inlineStr">
        <is>
          <t>Correctly ranked low to high?</t>
        </is>
      </c>
      <c r="C89" s="5">
        <f>IF(COUNT(C85:C88)&lt;4,"",IF(AND(C85&lt;C86,C86&lt;C87,C87&lt;C88),"YES","NO"))</f>
      </c>
    </row>
    <row r="91">
      <c r="A91" s="6" t="inlineStr">
        <is>
          <t>Record the water temperature every time - a DO value means nothing without it.</t>
        </is>
      </c>
    </row>
    <row r="92">
      <c r="A92" s="6" t="inlineStr">
        <is>
          <t>Zero solution: about 2 g sodium sulfite in 100 mL water, stirred, left 5 minutes.</t>
        </is>
      </c>
    </row>
    <row r="93">
      <c r="A93" s="6" t="inlineStr">
        <is>
          <t>Saturated: aerate 20 min with a pump, or half-fill a bottle and shake hard 2 min.</t>
        </is>
      </c>
    </row>
    <row r="94">
      <c r="A94" s="6" t="inlineStr">
        <is>
          <t>No calibrated reference meter was available - state that as a limitation.</t>
        </is>
      </c>
    </row>
  </sheetData>
</worksheet>
</file>